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8655"/>
  </bookViews>
  <sheets>
    <sheet name="前列腺癌" sheetId="1" r:id="rId1"/>
    <sheet name="前列腺增生" sheetId="2" r:id="rId2"/>
  </sheets>
  <definedNames>
    <definedName name="_xlnm._FilterDatabase" localSheetId="1" hidden="1">前列腺增生!$A$1:$M$202</definedName>
    <definedName name="_xlnm._FilterDatabase" localSheetId="0" hidden="1">前列腺癌!$A$1:$O$193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<sst xmlns="http://schemas.openxmlformats.org/spreadsheetml/2006/main" count="1866" uniqueCount="1373">
  <si>
    <t>序号</t>
  </si>
  <si>
    <t>登记号</t>
  </si>
  <si>
    <t>显著/非显著PCA</t>
  </si>
  <si>
    <t>姓名</t>
  </si>
  <si>
    <t>年龄</t>
  </si>
  <si>
    <t>前列腺大小(cm)</t>
  </si>
  <si>
    <t>PSA</t>
  </si>
  <si>
    <t>PSAD</t>
  </si>
  <si>
    <t>Gleason评分（10）</t>
  </si>
  <si>
    <t>WHO/ISUP（5）</t>
  </si>
  <si>
    <t>Ki-67（%+）</t>
  </si>
  <si>
    <t>P504S</t>
  </si>
  <si>
    <t>脉管内见癌栓</t>
  </si>
  <si>
    <t>神经见癌组织侵犯</t>
  </si>
  <si>
    <t>0000002645</t>
  </si>
  <si>
    <t>王正保</t>
  </si>
  <si>
    <t>4+3=7</t>
  </si>
  <si>
    <t>3</t>
  </si>
  <si>
    <t>0000004975</t>
  </si>
  <si>
    <t>贾国庆</t>
  </si>
  <si>
    <t>3+3=6</t>
  </si>
  <si>
    <t>1</t>
  </si>
  <si>
    <t>0000007093</t>
  </si>
  <si>
    <t>李著成</t>
  </si>
  <si>
    <t>0000010868</t>
  </si>
  <si>
    <t>李广宝</t>
  </si>
  <si>
    <t>4+4=8</t>
  </si>
  <si>
    <t>4</t>
  </si>
  <si>
    <t>0000012175</t>
  </si>
  <si>
    <t>张海林</t>
  </si>
  <si>
    <t>3+4=7</t>
  </si>
  <si>
    <t>2</t>
  </si>
  <si>
    <t>0000016191</t>
  </si>
  <si>
    <t>王贵才</t>
  </si>
  <si>
    <t>5.9×4.8×4.0</t>
  </si>
  <si>
    <t>0000018657</t>
  </si>
  <si>
    <t>赵世寿</t>
  </si>
  <si>
    <t>6.3×5.5×7.3</t>
  </si>
  <si>
    <t>4+5=9</t>
  </si>
  <si>
    <t>5</t>
  </si>
  <si>
    <t>0000019651</t>
  </si>
  <si>
    <t>张吕水</t>
  </si>
  <si>
    <t>6.8×7.2×6.5</t>
  </si>
  <si>
    <t>0000022326</t>
  </si>
  <si>
    <t>吴传发</t>
  </si>
  <si>
    <t>4.5×3.7×3.6</t>
  </si>
  <si>
    <t>0000024796</t>
  </si>
  <si>
    <t>李维山</t>
  </si>
  <si>
    <t>4.6×3.5×3.1</t>
  </si>
  <si>
    <t>0000024890</t>
  </si>
  <si>
    <t>叶宣发</t>
  </si>
  <si>
    <t>5.4×4.1×4.8</t>
  </si>
  <si>
    <t>0000025778</t>
  </si>
  <si>
    <t>韩仁玉</t>
  </si>
  <si>
    <t>4.4×3.4×3.8</t>
  </si>
  <si>
    <t>0000028164</t>
  </si>
  <si>
    <t>魏宗发</t>
  </si>
  <si>
    <t>5.2×4.1×3.5</t>
  </si>
  <si>
    <t>0000029373</t>
  </si>
  <si>
    <t>胡泽余</t>
  </si>
  <si>
    <t>5.1×4.3×4.2</t>
  </si>
  <si>
    <t>0000039506</t>
  </si>
  <si>
    <t>艾其昌</t>
  </si>
  <si>
    <t>4.2×3.6×4.5</t>
  </si>
  <si>
    <t>0000048185</t>
  </si>
  <si>
    <t>李先余</t>
  </si>
  <si>
    <t>4.7×4.1×3.6</t>
  </si>
  <si>
    <t>0000049708</t>
  </si>
  <si>
    <t>陈西霞</t>
  </si>
  <si>
    <t>4.4×3.7×3.2</t>
  </si>
  <si>
    <t>0000051529</t>
  </si>
  <si>
    <t>王文库</t>
  </si>
  <si>
    <t>5.2×4.1×3.9</t>
  </si>
  <si>
    <t>0000054981</t>
  </si>
  <si>
    <t>崔华</t>
  </si>
  <si>
    <t>4.1×2.7 ×3.2</t>
  </si>
  <si>
    <t>0000057164</t>
  </si>
  <si>
    <t>吴宏扬</t>
  </si>
  <si>
    <t>4.3×2.7×3.0</t>
  </si>
  <si>
    <t>0000059208</t>
  </si>
  <si>
    <t>苗高林</t>
  </si>
  <si>
    <t>6.2×4.2×4.7</t>
  </si>
  <si>
    <t>0000069211</t>
  </si>
  <si>
    <t>张锦祥</t>
  </si>
  <si>
    <t>6.1×4.6×6.2</t>
  </si>
  <si>
    <t>5+4=9</t>
  </si>
  <si>
    <t>0000076837</t>
  </si>
  <si>
    <t>许荣斌</t>
  </si>
  <si>
    <t>4.5×3.6×3.3</t>
  </si>
  <si>
    <t>0000077557</t>
  </si>
  <si>
    <t>江仁义</t>
  </si>
  <si>
    <t>4.6×3.3×2.5</t>
  </si>
  <si>
    <t>0000092025</t>
  </si>
  <si>
    <t>蒋义江</t>
  </si>
  <si>
    <t>3.5×5.1×3.3</t>
  </si>
  <si>
    <t>0000093234</t>
  </si>
  <si>
    <t>濮维财</t>
  </si>
  <si>
    <t>7.1 ×7.1 ×6.1</t>
  </si>
  <si>
    <t>5+5=10</t>
  </si>
  <si>
    <t>0000093664</t>
  </si>
  <si>
    <t>倪宏</t>
  </si>
  <si>
    <t>3.7×3.1×4.8</t>
  </si>
  <si>
    <t>0000098957</t>
  </si>
  <si>
    <t>陆昌良</t>
  </si>
  <si>
    <t>4.9×4.7×4.0</t>
  </si>
  <si>
    <t>0000101286</t>
  </si>
  <si>
    <t>孟隆智</t>
  </si>
  <si>
    <t>4.7×3.3×3.2</t>
  </si>
  <si>
    <t>0000102138</t>
  </si>
  <si>
    <t>顾达昌</t>
  </si>
  <si>
    <t>5.0×3.5×3.6</t>
  </si>
  <si>
    <t>0000103611</t>
  </si>
  <si>
    <t>万仕春</t>
  </si>
  <si>
    <t>3.5×3.0×3.2</t>
  </si>
  <si>
    <t>0000104027</t>
  </si>
  <si>
    <t>王茂青</t>
  </si>
  <si>
    <t>6.2×5.6×7.5</t>
  </si>
  <si>
    <t>0000106789</t>
  </si>
  <si>
    <t>陈正荣</t>
  </si>
  <si>
    <t>5.9×4.6×6.4</t>
  </si>
  <si>
    <t>0000108766</t>
  </si>
  <si>
    <t>陈怀兴</t>
  </si>
  <si>
    <t>5.1×3.6×3.9</t>
  </si>
  <si>
    <t>0000109364</t>
  </si>
  <si>
    <t>盛支平</t>
  </si>
  <si>
    <t>3.9×4.5×3.2</t>
  </si>
  <si>
    <t>0000113837</t>
  </si>
  <si>
    <t>周福林</t>
  </si>
  <si>
    <t>6.2×3.7×5.7</t>
  </si>
  <si>
    <t>0000120116</t>
  </si>
  <si>
    <t>卞爱民</t>
  </si>
  <si>
    <t>4.8×4.1×3.5</t>
  </si>
  <si>
    <t>0000129346</t>
  </si>
  <si>
    <t>项贤国</t>
  </si>
  <si>
    <t>3.3×1.9×2.9</t>
  </si>
  <si>
    <t>0000129573</t>
  </si>
  <si>
    <t>廖永兵</t>
  </si>
  <si>
    <t>4.4×3.2×4.2</t>
  </si>
  <si>
    <t>0000130964</t>
  </si>
  <si>
    <t>唐成瑞</t>
  </si>
  <si>
    <t>5.4×4.7×4.3</t>
  </si>
  <si>
    <t>0000141978</t>
  </si>
  <si>
    <t>李玉芳</t>
  </si>
  <si>
    <t>5.6×4.3×4.1</t>
  </si>
  <si>
    <t>5+3=8</t>
  </si>
  <si>
    <t>0000145319</t>
  </si>
  <si>
    <t>张安发</t>
  </si>
  <si>
    <t>5.3×4.6×4.2</t>
  </si>
  <si>
    <t>0000146403</t>
  </si>
  <si>
    <t>吴本松</t>
  </si>
  <si>
    <t>5.8×4.2×4.7</t>
  </si>
  <si>
    <t>0000147428</t>
  </si>
  <si>
    <t>雷泽富</t>
  </si>
  <si>
    <t>5.2×4.4×3.7</t>
  </si>
  <si>
    <t>0000154016</t>
  </si>
  <si>
    <t>濮廷和</t>
  </si>
  <si>
    <t>5.2×4.8×4.7</t>
  </si>
  <si>
    <t>0000158350</t>
  </si>
  <si>
    <t>陈立科</t>
  </si>
  <si>
    <t>4.9×2.5×2.8</t>
  </si>
  <si>
    <t>0000158475</t>
  </si>
  <si>
    <t>谢道满</t>
  </si>
  <si>
    <t>5.8×4.9×5.0</t>
  </si>
  <si>
    <t>0000166190</t>
  </si>
  <si>
    <t>朱宏祥</t>
  </si>
  <si>
    <t>5.1×3.3×2.8</t>
  </si>
  <si>
    <t>0000172601</t>
  </si>
  <si>
    <t>凌文芳</t>
  </si>
  <si>
    <t>5.7×5.0×4.4</t>
  </si>
  <si>
    <t>0000175754</t>
  </si>
  <si>
    <t>武立国</t>
  </si>
  <si>
    <t>4.2×3.0×3.5</t>
  </si>
  <si>
    <t>0000176080</t>
  </si>
  <si>
    <t>吴刚</t>
  </si>
  <si>
    <t>5.5×4.1×3.9</t>
  </si>
  <si>
    <t>0000177171</t>
  </si>
  <si>
    <t>黄贵明</t>
  </si>
  <si>
    <t>4.5×3.8×4.0</t>
  </si>
  <si>
    <t>0000179108</t>
  </si>
  <si>
    <t>朱传声</t>
  </si>
  <si>
    <t>4.5×3.4×3.6</t>
  </si>
  <si>
    <t>0000192450</t>
  </si>
  <si>
    <t>邢卫军</t>
  </si>
  <si>
    <t>5.6×4.4×4.8</t>
  </si>
  <si>
    <t>0000192461</t>
  </si>
  <si>
    <t>杨晖春</t>
  </si>
  <si>
    <t>4.2×2.9×3.4</t>
  </si>
  <si>
    <t>0000193495</t>
  </si>
  <si>
    <t>夏光荣</t>
  </si>
  <si>
    <t>4.6×3.0×3.1</t>
  </si>
  <si>
    <t>0000201038</t>
  </si>
  <si>
    <t>惠现更</t>
  </si>
  <si>
    <t>5.2×3.4×3.9</t>
  </si>
  <si>
    <t>0000214959</t>
  </si>
  <si>
    <t>刘祖柏</t>
  </si>
  <si>
    <t>6.0×4.0×5.1</t>
  </si>
  <si>
    <t>0000238787</t>
  </si>
  <si>
    <t>王长海</t>
  </si>
  <si>
    <t>4.3×3.3×3.5</t>
  </si>
  <si>
    <t>0000244361</t>
  </si>
  <si>
    <t>李万立</t>
  </si>
  <si>
    <t>5.8×3.9×4.2</t>
  </si>
  <si>
    <t>0000245842</t>
  </si>
  <si>
    <t>田世友</t>
  </si>
  <si>
    <t>5.7×5.8×4.4</t>
  </si>
  <si>
    <t>3+5=8</t>
  </si>
  <si>
    <t>0000254590</t>
  </si>
  <si>
    <t>张耀华</t>
  </si>
  <si>
    <t>5.7×6.2×4.1</t>
  </si>
  <si>
    <t>0000257064</t>
  </si>
  <si>
    <t>魏祖培</t>
  </si>
  <si>
    <t>4.5×4.4×5.6</t>
  </si>
  <si>
    <t>0000302144</t>
  </si>
  <si>
    <t>于正和</t>
  </si>
  <si>
    <t>4.2×3.1×3.9</t>
  </si>
  <si>
    <t>0000306024</t>
  </si>
  <si>
    <t>李家富</t>
  </si>
  <si>
    <t>4.9×3.3×5.1</t>
  </si>
  <si>
    <t>0000315035</t>
  </si>
  <si>
    <t>王德淮</t>
  </si>
  <si>
    <t>4.5×3.1×3.5</t>
  </si>
  <si>
    <t>0000320095</t>
  </si>
  <si>
    <t>史代松</t>
  </si>
  <si>
    <t>5.0×4.9×5.1</t>
  </si>
  <si>
    <t>0000334619</t>
  </si>
  <si>
    <t>王玉新</t>
  </si>
  <si>
    <t>5.6×5.2×5.9</t>
  </si>
  <si>
    <t>0000334973</t>
  </si>
  <si>
    <t>韩绍君</t>
  </si>
  <si>
    <t>5.3×3.1×2.7</t>
  </si>
  <si>
    <t>0000347429</t>
  </si>
  <si>
    <t>仇多勤</t>
  </si>
  <si>
    <t>3.7×3.0×3.8</t>
  </si>
  <si>
    <t>0000350117</t>
  </si>
  <si>
    <t>许实颖</t>
  </si>
  <si>
    <t>5.6×4.4×6.0</t>
  </si>
  <si>
    <t>0000354736</t>
  </si>
  <si>
    <t>丁云午</t>
  </si>
  <si>
    <t>4.6×4.7×4.1</t>
  </si>
  <si>
    <t>0000363283</t>
  </si>
  <si>
    <t>刘贤仁</t>
  </si>
  <si>
    <t>0000373396</t>
  </si>
  <si>
    <t>韩桂全</t>
  </si>
  <si>
    <t>4.5×4.7×5.6</t>
  </si>
  <si>
    <t>0000376050</t>
  </si>
  <si>
    <t>张书广</t>
  </si>
  <si>
    <t>5.3×3.8×4.4</t>
  </si>
  <si>
    <t>0000378647</t>
  </si>
  <si>
    <t>王修祝</t>
  </si>
  <si>
    <t>6.0×4.4×5.1</t>
  </si>
  <si>
    <t>0000379508</t>
  </si>
  <si>
    <t>吴有思</t>
  </si>
  <si>
    <t>4.1×5.7×6.1</t>
  </si>
  <si>
    <t>0000392928</t>
  </si>
  <si>
    <t>夏远全</t>
  </si>
  <si>
    <t>4.7×3.9×4.2</t>
  </si>
  <si>
    <t>0000395297</t>
  </si>
  <si>
    <t>杜学平</t>
  </si>
  <si>
    <t>6.1×4.7×6.3</t>
  </si>
  <si>
    <t>0000400233</t>
  </si>
  <si>
    <t>王后乐</t>
  </si>
  <si>
    <t>5.5×5.9×4.5</t>
  </si>
  <si>
    <t>0000401818</t>
  </si>
  <si>
    <t>迟明茂</t>
  </si>
  <si>
    <t>5.2×4.9×4.4</t>
  </si>
  <si>
    <t>0000424972</t>
  </si>
  <si>
    <t>陈庭喜</t>
  </si>
  <si>
    <t>5.5×6.3×5.2</t>
  </si>
  <si>
    <t>0000427061</t>
  </si>
  <si>
    <t>张居龙</t>
  </si>
  <si>
    <t>4.1×4.5×3.1</t>
  </si>
  <si>
    <t>0000432592</t>
  </si>
  <si>
    <t>徐茂修</t>
  </si>
  <si>
    <t>5.5×5.8×4.5</t>
  </si>
  <si>
    <t>0000439756</t>
  </si>
  <si>
    <t>石严生</t>
  </si>
  <si>
    <t>前列腺体积饱满，横径约4.6</t>
  </si>
  <si>
    <t>0000449204</t>
  </si>
  <si>
    <t>于华龙</t>
  </si>
  <si>
    <t>5.5×4.5×6.0</t>
  </si>
  <si>
    <t>0000451245</t>
  </si>
  <si>
    <t>张金岭</t>
  </si>
  <si>
    <t>5.3×5.2×4.3</t>
  </si>
  <si>
    <t>0000459791</t>
  </si>
  <si>
    <t>王能华</t>
  </si>
  <si>
    <t>4.9×4.3×4.1</t>
  </si>
  <si>
    <t>0000463176</t>
  </si>
  <si>
    <t>丁木生</t>
  </si>
  <si>
    <t>4.6×4.9×3.7</t>
  </si>
  <si>
    <t>0000465755</t>
  </si>
  <si>
    <t>许祥云</t>
  </si>
  <si>
    <t>4.9×4.0×3.4</t>
  </si>
  <si>
    <t>0000466275</t>
  </si>
  <si>
    <t>谢明贵</t>
  </si>
  <si>
    <t>3.8×5.4×3.6</t>
  </si>
  <si>
    <t>0000466814</t>
  </si>
  <si>
    <t>李国兵</t>
  </si>
  <si>
    <t>4.4×3.1×3.3</t>
  </si>
  <si>
    <t>0000468154</t>
  </si>
  <si>
    <t>齐和发</t>
  </si>
  <si>
    <t>5.2×3.7×4.2</t>
  </si>
  <si>
    <t>0000471897</t>
  </si>
  <si>
    <t>武其本</t>
  </si>
  <si>
    <t>5.1×4.0×4.8</t>
  </si>
  <si>
    <t>0000480164</t>
  </si>
  <si>
    <t>霍家正</t>
  </si>
  <si>
    <t>0000480637</t>
  </si>
  <si>
    <t>刘化芹</t>
  </si>
  <si>
    <t>4.6×4.3×3.7</t>
  </si>
  <si>
    <t>0000497284</t>
  </si>
  <si>
    <t>周光才</t>
  </si>
  <si>
    <t>4.6×4.5×4.0</t>
  </si>
  <si>
    <t>0000502098</t>
  </si>
  <si>
    <t>陶振保</t>
  </si>
  <si>
    <t>4.6×4.5×3.7</t>
  </si>
  <si>
    <t>0000502281</t>
  </si>
  <si>
    <t>张明桂</t>
  </si>
  <si>
    <t>4.7×5.1×4.7</t>
  </si>
  <si>
    <t>0000505209</t>
  </si>
  <si>
    <t>徐万仓</t>
  </si>
  <si>
    <t>5.7×5.2×4.8</t>
  </si>
  <si>
    <t>0000511678</t>
  </si>
  <si>
    <t>潘成孝</t>
  </si>
  <si>
    <t>5.5×5.2×4.1</t>
  </si>
  <si>
    <t>0000518012</t>
  </si>
  <si>
    <t>史凤斌</t>
  </si>
  <si>
    <t>4.3×4.9×3.8</t>
  </si>
  <si>
    <t>0000520391</t>
  </si>
  <si>
    <t>李正华</t>
  </si>
  <si>
    <t>5.0×4.5×4.3</t>
  </si>
  <si>
    <t>0000520710</t>
  </si>
  <si>
    <t>王少强</t>
  </si>
  <si>
    <t>4.5×3.2×3.1</t>
  </si>
  <si>
    <t>0000530064</t>
  </si>
  <si>
    <t>徐国爱</t>
  </si>
  <si>
    <t>5.5×4.5×5.6</t>
  </si>
  <si>
    <t>0000530810</t>
  </si>
  <si>
    <t>李振国</t>
  </si>
  <si>
    <t>4.7×3.4×3.6</t>
  </si>
  <si>
    <t>0000535051</t>
  </si>
  <si>
    <t>杨贤树</t>
  </si>
  <si>
    <t>4.0×2.8×3.6</t>
  </si>
  <si>
    <t>0000537887</t>
  </si>
  <si>
    <t>芮万胜</t>
  </si>
  <si>
    <t>4.9×3.7×3.3</t>
  </si>
  <si>
    <t>0000540235</t>
  </si>
  <si>
    <t>陶同明</t>
  </si>
  <si>
    <t>4.6×5.1×4.0</t>
  </si>
  <si>
    <t>0000541782</t>
  </si>
  <si>
    <t>周利华</t>
  </si>
  <si>
    <t>4.2×3.6×3.0</t>
  </si>
  <si>
    <t>0000562898</t>
  </si>
  <si>
    <t>汪命钊</t>
  </si>
  <si>
    <t>4.8×5.8×4.1</t>
  </si>
  <si>
    <t>0000565515</t>
  </si>
  <si>
    <t>曹发金</t>
  </si>
  <si>
    <t>5.1×4.2×4.3</t>
  </si>
  <si>
    <t>0000576321</t>
  </si>
  <si>
    <t>耿之平</t>
  </si>
  <si>
    <t>4.7×4.4×3.0</t>
  </si>
  <si>
    <t>0000587859</t>
  </si>
  <si>
    <t>周祥明</t>
  </si>
  <si>
    <t>5.9×5.2×56</t>
  </si>
  <si>
    <t>0000596224</t>
  </si>
  <si>
    <t>伍长平</t>
  </si>
  <si>
    <t>3.9×3.1×3.3</t>
  </si>
  <si>
    <t>0000596511</t>
  </si>
  <si>
    <t>张凤金</t>
  </si>
  <si>
    <t>5.9×5.6×4.2</t>
  </si>
  <si>
    <t>0000598242</t>
  </si>
  <si>
    <t>周继枝</t>
  </si>
  <si>
    <t>4.4×3.9×3.3</t>
  </si>
  <si>
    <t>0000601948</t>
  </si>
  <si>
    <t>陈兆银</t>
  </si>
  <si>
    <t>4.9×4.1×3.3</t>
  </si>
  <si>
    <t>0000607439</t>
  </si>
  <si>
    <t>王福地</t>
  </si>
  <si>
    <t>5.2×4.7×3.8</t>
  </si>
  <si>
    <t>0000620049</t>
  </si>
  <si>
    <t>俞荣松</t>
  </si>
  <si>
    <t>5.2×4.4×4.6</t>
  </si>
  <si>
    <t>0000620450</t>
  </si>
  <si>
    <t>许承义</t>
  </si>
  <si>
    <t>4.8×4.3×3.7</t>
  </si>
  <si>
    <t>0000621981</t>
  </si>
  <si>
    <t>朱修祥</t>
  </si>
  <si>
    <t>4.5×4.8×4.1</t>
  </si>
  <si>
    <t>0000628900</t>
  </si>
  <si>
    <t>孙有贵</t>
  </si>
  <si>
    <t>6.0×5.0×4.9</t>
  </si>
  <si>
    <t>0000637472</t>
  </si>
  <si>
    <t>王正华</t>
  </si>
  <si>
    <t>6.1×5.4×6.5</t>
  </si>
  <si>
    <t>0000637707</t>
  </si>
  <si>
    <t>张杨根</t>
  </si>
  <si>
    <t>0000641280</t>
  </si>
  <si>
    <t>朱胜保</t>
  </si>
  <si>
    <t>4.7×3.0×2.6</t>
  </si>
  <si>
    <t>0000643224</t>
  </si>
  <si>
    <t>张太银</t>
  </si>
  <si>
    <t>5.2×5.0×4.5</t>
  </si>
  <si>
    <t>0000647456</t>
  </si>
  <si>
    <t>秦顺昌</t>
  </si>
  <si>
    <t>5.5×5.0×4.8</t>
  </si>
  <si>
    <t>0000647594</t>
  </si>
  <si>
    <t>薛长国</t>
  </si>
  <si>
    <t>0000664574</t>
  </si>
  <si>
    <t>费宏初</t>
  </si>
  <si>
    <t>5.0×4.0×4.3</t>
  </si>
  <si>
    <t>0000669849</t>
  </si>
  <si>
    <t>王明林</t>
  </si>
  <si>
    <t>5.6×5.7×7.1</t>
  </si>
  <si>
    <t>0000670194</t>
  </si>
  <si>
    <t>禹萍</t>
  </si>
  <si>
    <t>4.2×4.4×3.6</t>
  </si>
  <si>
    <t>0000672824</t>
  </si>
  <si>
    <t>齐联华</t>
  </si>
  <si>
    <t>4.3×4.1×3.2</t>
  </si>
  <si>
    <t>0000682647</t>
  </si>
  <si>
    <t>郭惠祥</t>
  </si>
  <si>
    <t>5.4×5.1×4.6</t>
  </si>
  <si>
    <t>0000685552</t>
  </si>
  <si>
    <t>甘有福</t>
  </si>
  <si>
    <t>5.2×5.0×5.5</t>
  </si>
  <si>
    <t>0000703205</t>
  </si>
  <si>
    <t>王继兴</t>
  </si>
  <si>
    <t>4.7×3.3×4.0</t>
  </si>
  <si>
    <t>0000706631</t>
  </si>
  <si>
    <t>夏德保</t>
  </si>
  <si>
    <t>5.1×5.0×4.4</t>
  </si>
  <si>
    <t>0000708322</t>
  </si>
  <si>
    <t>王业炎</t>
  </si>
  <si>
    <t>4.2×2.7×2.8</t>
  </si>
  <si>
    <t>0000708353</t>
  </si>
  <si>
    <t>张世清</t>
  </si>
  <si>
    <t>0000730232</t>
  </si>
  <si>
    <t>裴吉鸿</t>
  </si>
  <si>
    <t>4.6×3.4×4.3</t>
  </si>
  <si>
    <t>0000732775</t>
  </si>
  <si>
    <t>孙其政</t>
  </si>
  <si>
    <t>4.0×2.8×3.4</t>
  </si>
  <si>
    <t>0000734456</t>
  </si>
  <si>
    <t>杨家隆</t>
  </si>
  <si>
    <t>4.4×3.5×4.1</t>
  </si>
  <si>
    <t>0000736411</t>
  </si>
  <si>
    <t>吕传江</t>
  </si>
  <si>
    <t>6.5×4.6×5.9</t>
  </si>
  <si>
    <t>0000744959</t>
  </si>
  <si>
    <t>陆祥林</t>
  </si>
  <si>
    <t>6.2×5.1×6.7</t>
  </si>
  <si>
    <t>0000751856</t>
  </si>
  <si>
    <t>李吕友</t>
  </si>
  <si>
    <t>5.2×4.1×3.2</t>
  </si>
  <si>
    <t>0000754612</t>
  </si>
  <si>
    <t>吴文贵</t>
  </si>
  <si>
    <t>5.4×4.2×3.8</t>
  </si>
  <si>
    <t>0000760228</t>
  </si>
  <si>
    <t>赵诗词</t>
  </si>
  <si>
    <t>4.1×3.6×3.5</t>
  </si>
  <si>
    <t>0000763374</t>
  </si>
  <si>
    <t>张心朝</t>
  </si>
  <si>
    <t>6.6×5.3×4.4</t>
  </si>
  <si>
    <t>0000768488</t>
  </si>
  <si>
    <t>谢德金</t>
  </si>
  <si>
    <t>5.0×5.2×4.8</t>
  </si>
  <si>
    <t>0000771459</t>
  </si>
  <si>
    <t>张平德</t>
  </si>
  <si>
    <t>4.6×4.1×4.5</t>
  </si>
  <si>
    <t>0000801986</t>
  </si>
  <si>
    <t>唐世清</t>
  </si>
  <si>
    <t>5.4×3.9×4.1</t>
  </si>
  <si>
    <t>0000811737</t>
  </si>
  <si>
    <t>汪加银</t>
  </si>
  <si>
    <t>5.1×4.0×3.8</t>
  </si>
  <si>
    <t>0000826147</t>
  </si>
  <si>
    <t>陈家瑞</t>
  </si>
  <si>
    <t>4.8×4.5×4.3</t>
  </si>
  <si>
    <t>0000827851</t>
  </si>
  <si>
    <t>夏先龙</t>
  </si>
  <si>
    <t>5.3×4.5×6.1</t>
  </si>
  <si>
    <t>0000833047</t>
  </si>
  <si>
    <t>高家根</t>
  </si>
  <si>
    <t>5.8×4.9×5.1</t>
  </si>
  <si>
    <t>0000838738</t>
  </si>
  <si>
    <t>徐瑞林</t>
  </si>
  <si>
    <t>5.8×5.3×4.7</t>
  </si>
  <si>
    <t>0000849061</t>
  </si>
  <si>
    <t>邵天义</t>
  </si>
  <si>
    <t>4.1×3.3×3.8</t>
  </si>
  <si>
    <t>0000851187</t>
  </si>
  <si>
    <t>张强</t>
  </si>
  <si>
    <t>5.2×4.9×4.8</t>
  </si>
  <si>
    <t>0000852378</t>
  </si>
  <si>
    <t>温为贵</t>
  </si>
  <si>
    <t>6.7×7.3×6.3</t>
  </si>
  <si>
    <t>0000858995</t>
  </si>
  <si>
    <t>聂和秋</t>
  </si>
  <si>
    <t>5.8×5.5×4.5</t>
  </si>
  <si>
    <t>0000860539</t>
  </si>
  <si>
    <t>李华明</t>
  </si>
  <si>
    <t>6.2×5.2×6.2</t>
  </si>
  <si>
    <t>0000867431</t>
  </si>
  <si>
    <t>孙长山</t>
  </si>
  <si>
    <t>7.0×6.1×5.3</t>
  </si>
  <si>
    <t>0000887724</t>
  </si>
  <si>
    <t>石天伦</t>
  </si>
  <si>
    <t>5.4×4.6×3.7</t>
  </si>
  <si>
    <t>0000903045</t>
  </si>
  <si>
    <t>王宗善</t>
  </si>
  <si>
    <t>4.7×3.2×2.8</t>
  </si>
  <si>
    <t>0000910550</t>
  </si>
  <si>
    <t>罗开保</t>
  </si>
  <si>
    <t>5.3×4.0×3.3</t>
  </si>
  <si>
    <t>0000915681</t>
  </si>
  <si>
    <t>赵正武</t>
  </si>
  <si>
    <t>4.7×3.4×4.0</t>
  </si>
  <si>
    <t>0000918371</t>
  </si>
  <si>
    <t>吴秀弘</t>
  </si>
  <si>
    <t>3.5×3.2×3.2</t>
  </si>
  <si>
    <t>0000919695</t>
  </si>
  <si>
    <t>葛天银</t>
  </si>
  <si>
    <t>5.7×4.3×3.8</t>
  </si>
  <si>
    <t>0000922466</t>
  </si>
  <si>
    <t>杨文禄</t>
  </si>
  <si>
    <t>4.6×4.2×4.2</t>
  </si>
  <si>
    <t>0000931247</t>
  </si>
  <si>
    <t>严吉水</t>
  </si>
  <si>
    <t>6.0×3.6×2.4</t>
  </si>
  <si>
    <t>0000950050</t>
  </si>
  <si>
    <t>沈基兴</t>
  </si>
  <si>
    <t>5.8×6.1×4.9</t>
  </si>
  <si>
    <t>0000958604</t>
  </si>
  <si>
    <t>王文祥</t>
  </si>
  <si>
    <t>4.7×4.6×3.9</t>
  </si>
  <si>
    <t>0000958648</t>
  </si>
  <si>
    <t>李国仁</t>
  </si>
  <si>
    <t>6.0×5.9×5.2</t>
  </si>
  <si>
    <t>0000959138</t>
  </si>
  <si>
    <t>昂盛财</t>
  </si>
  <si>
    <t>4.9×5.1×4.3</t>
  </si>
  <si>
    <t>0000960087</t>
  </si>
  <si>
    <t>彭可有</t>
  </si>
  <si>
    <t>5.7×4.7×5.1</t>
  </si>
  <si>
    <t>0000961829</t>
  </si>
  <si>
    <t>胡华龙</t>
  </si>
  <si>
    <t>4.7×3.4×4.2</t>
  </si>
  <si>
    <t>0000964362</t>
  </si>
  <si>
    <t>李全源</t>
  </si>
  <si>
    <t>4.5×3.5</t>
  </si>
  <si>
    <t>0000965854</t>
  </si>
  <si>
    <t>王尔国</t>
  </si>
  <si>
    <t>4.5×4.2×4.3</t>
  </si>
  <si>
    <t>0000970885</t>
  </si>
  <si>
    <t>王元龙</t>
  </si>
  <si>
    <t>5.1×5.2×5.3</t>
  </si>
  <si>
    <t>0000978016</t>
  </si>
  <si>
    <t>陈吉荣</t>
  </si>
  <si>
    <t>4.7×3.5×4.7</t>
  </si>
  <si>
    <t>0000978657</t>
  </si>
  <si>
    <t>陈兴发</t>
  </si>
  <si>
    <t>4.7×3.0×2.7</t>
  </si>
  <si>
    <t>0000979663</t>
  </si>
  <si>
    <t>高道平</t>
  </si>
  <si>
    <t>5.4×4.6×4.1</t>
  </si>
  <si>
    <t>0000980621</t>
  </si>
  <si>
    <t>张本荣</t>
  </si>
  <si>
    <t>4.9×4.2×3.1</t>
  </si>
  <si>
    <t>0000981461</t>
  </si>
  <si>
    <t>汪六平</t>
  </si>
  <si>
    <t>5.8×4.1×4.9</t>
  </si>
  <si>
    <t>0000993957</t>
  </si>
  <si>
    <t>许宇全</t>
  </si>
  <si>
    <t>6.1×5.0×6.7</t>
  </si>
  <si>
    <t>0000997565</t>
  </si>
  <si>
    <t>洪书荣</t>
  </si>
  <si>
    <t>5.1×3.7×3.6</t>
  </si>
  <si>
    <t>0000999156</t>
  </si>
  <si>
    <t>戚维仁</t>
  </si>
  <si>
    <t>4.3×3.2×4.3</t>
  </si>
  <si>
    <t>0001002003</t>
  </si>
  <si>
    <t>陶德宏</t>
  </si>
  <si>
    <t>4.6×3.3×3.1</t>
  </si>
  <si>
    <t>0001002107</t>
  </si>
  <si>
    <t>孙孟支</t>
  </si>
  <si>
    <t>4.2×4.8×3.9</t>
  </si>
  <si>
    <t>0001008677</t>
  </si>
  <si>
    <t>朱元喜</t>
  </si>
  <si>
    <t>5.1×3.1×3.5</t>
  </si>
  <si>
    <t>0001011786</t>
  </si>
  <si>
    <t>陈以敏</t>
  </si>
  <si>
    <t>5.7×4.3×4.1</t>
  </si>
  <si>
    <t>0001012940</t>
  </si>
  <si>
    <t>杨科寿</t>
  </si>
  <si>
    <t>4.5×3.5×4.1</t>
  </si>
  <si>
    <t>0001018026</t>
  </si>
  <si>
    <t>汪华荣</t>
  </si>
  <si>
    <t>4.5×4.0×5.0</t>
  </si>
  <si>
    <t>0001008187</t>
  </si>
  <si>
    <t>袁桂流</t>
  </si>
  <si>
    <t>5.2×4.8×5.7</t>
  </si>
  <si>
    <t>0000591904</t>
  </si>
  <si>
    <t>陶明生</t>
  </si>
  <si>
    <t>4.9×3.7×4.0</t>
  </si>
  <si>
    <t>0000377139</t>
  </si>
  <si>
    <t>王学斌</t>
  </si>
  <si>
    <t>4.5×3.3×3.7</t>
  </si>
  <si>
    <t>0000326945</t>
  </si>
  <si>
    <t>戴成德</t>
  </si>
  <si>
    <t>3.8×3.6×4.5</t>
  </si>
  <si>
    <t>0001045985</t>
  </si>
  <si>
    <t>张根和</t>
  </si>
  <si>
    <t>4.8×4.7×4.2</t>
  </si>
  <si>
    <t>0000583414</t>
  </si>
  <si>
    <t>王太祥</t>
  </si>
  <si>
    <t>8.1×5.8×5.7</t>
  </si>
  <si>
    <t>0000028383</t>
  </si>
  <si>
    <t>杨联松</t>
  </si>
  <si>
    <t>7.2×6.0×6.8</t>
  </si>
  <si>
    <t>0000972681</t>
  </si>
  <si>
    <t>李叶本</t>
  </si>
  <si>
    <t>6.2×4.7×6.4</t>
  </si>
  <si>
    <t>0000578672</t>
  </si>
  <si>
    <t>周寿典</t>
  </si>
  <si>
    <t>5.1×4.0×3.4</t>
  </si>
  <si>
    <t>0000614264</t>
  </si>
  <si>
    <t>毛云龙</t>
  </si>
  <si>
    <t>5.5×4.5×6.3</t>
  </si>
  <si>
    <t>0000232439</t>
  </si>
  <si>
    <t>王允</t>
  </si>
  <si>
    <t>6.8×8.1×5.8</t>
  </si>
  <si>
    <t>0000061439</t>
  </si>
  <si>
    <t>王宗福</t>
  </si>
  <si>
    <t>4.6×3.5×3.2</t>
  </si>
  <si>
    <t>0000193687</t>
  </si>
  <si>
    <t>陈章达</t>
  </si>
  <si>
    <t>4.5×3.6×4.6</t>
  </si>
  <si>
    <t>0001072424</t>
  </si>
  <si>
    <t>李庆质</t>
  </si>
  <si>
    <t>4.9×4.1×4.7</t>
  </si>
  <si>
    <t>0000109785</t>
  </si>
  <si>
    <t>唐夕林</t>
  </si>
  <si>
    <t>5.9×4.5×6.1</t>
  </si>
  <si>
    <t>王万春</t>
  </si>
  <si>
    <t>2.9×3.4×3.2</t>
  </si>
  <si>
    <t>李应树</t>
  </si>
  <si>
    <t>5.5×4.1×4.1</t>
  </si>
  <si>
    <t>杨新宝</t>
  </si>
  <si>
    <t>5.8×4.2×5.4</t>
  </si>
  <si>
    <t>周大清</t>
  </si>
  <si>
    <t>5.0×3.8×4.2</t>
  </si>
  <si>
    <t>徐社德</t>
  </si>
  <si>
    <t>5.5×4.4×4.8</t>
  </si>
  <si>
    <t>张建国</t>
  </si>
  <si>
    <t>5.6×4.2×4.5</t>
  </si>
  <si>
    <t>鞠子彪</t>
  </si>
  <si>
    <t>4.7×2.8×3.7</t>
  </si>
  <si>
    <t>唐家金</t>
  </si>
  <si>
    <t>4.3×2.6×4.2</t>
  </si>
  <si>
    <t>李国玉</t>
  </si>
  <si>
    <t>4.5×3.5×4.3</t>
  </si>
  <si>
    <t>刘功友</t>
  </si>
  <si>
    <t>5.0×4.7×3.4</t>
  </si>
  <si>
    <t>徐华玉</t>
  </si>
  <si>
    <t>4.6×3.7×3.2</t>
  </si>
  <si>
    <t>Ki-67(%+)</t>
  </si>
  <si>
    <t>0000000441</t>
  </si>
  <si>
    <t>吴长安</t>
  </si>
  <si>
    <t>5.5×5.4×4.6</t>
  </si>
  <si>
    <t>0000002080</t>
  </si>
  <si>
    <t>许来保</t>
  </si>
  <si>
    <t>4.6×5.8×3.1</t>
  </si>
  <si>
    <t>0000006081</t>
  </si>
  <si>
    <t>陈大荣</t>
  </si>
  <si>
    <t>5.5×4.5×5.8</t>
  </si>
  <si>
    <t>0000007367</t>
  </si>
  <si>
    <t>夏则和</t>
  </si>
  <si>
    <t>4.8×3.5×5.4</t>
  </si>
  <si>
    <t>0000008713</t>
  </si>
  <si>
    <t>王玉琳</t>
  </si>
  <si>
    <t>5.5×5.3×5.1</t>
  </si>
  <si>
    <t>0000011331</t>
  </si>
  <si>
    <t>纪家贵</t>
  </si>
  <si>
    <t>5.6×5.2×4.6</t>
  </si>
  <si>
    <t>0000012179</t>
  </si>
  <si>
    <t>汪国福</t>
  </si>
  <si>
    <t>6.0×4.8×6.3</t>
  </si>
  <si>
    <t>0000013099</t>
  </si>
  <si>
    <t>谢美贵</t>
  </si>
  <si>
    <t>6.6×6.3×5.9</t>
  </si>
  <si>
    <t>&lt;1</t>
  </si>
  <si>
    <t>0000013470</t>
  </si>
  <si>
    <t>马亨贵</t>
  </si>
  <si>
    <t>5.6×5.1×4.5</t>
  </si>
  <si>
    <t>0000014117</t>
  </si>
  <si>
    <t>杨绍亚</t>
  </si>
  <si>
    <t>6.6×6.3×7.9</t>
  </si>
  <si>
    <t>0000015167</t>
  </si>
  <si>
    <t>姚继国</t>
  </si>
  <si>
    <t>6.8×5.1×6.6</t>
  </si>
  <si>
    <t>0000017018</t>
  </si>
  <si>
    <t>吴家木</t>
  </si>
  <si>
    <t>6.3×5.0×4.9</t>
  </si>
  <si>
    <t>0000018400</t>
  </si>
  <si>
    <t>李和平</t>
  </si>
  <si>
    <t>5.5×4.5×5.7</t>
  </si>
  <si>
    <t>0000019177</t>
  </si>
  <si>
    <t>丁永和</t>
  </si>
  <si>
    <t>6.2×5.9×4.4</t>
  </si>
  <si>
    <t>0000022142</t>
  </si>
  <si>
    <t>金春木</t>
  </si>
  <si>
    <t>5.1×4.3×4.0</t>
  </si>
  <si>
    <t>0000024923</t>
  </si>
  <si>
    <t>甄长琪</t>
  </si>
  <si>
    <t>0000025086</t>
  </si>
  <si>
    <t>尹德青</t>
  </si>
  <si>
    <t>5.1×6.5×4.3</t>
  </si>
  <si>
    <t>0000025967</t>
  </si>
  <si>
    <t>汪国保</t>
  </si>
  <si>
    <t>4.6×3.2×3.6</t>
  </si>
  <si>
    <t>0000026156</t>
  </si>
  <si>
    <t>孙荣超</t>
  </si>
  <si>
    <t>5.0×3.6×3.8</t>
  </si>
  <si>
    <t>0000027417</t>
  </si>
  <si>
    <t>严自贵</t>
  </si>
  <si>
    <t>7.1×6.5×7.2</t>
  </si>
  <si>
    <t>0000035941</t>
  </si>
  <si>
    <t>王平</t>
  </si>
  <si>
    <t>6.4×4.0×4.6</t>
  </si>
  <si>
    <t>0000044758</t>
  </si>
  <si>
    <t>秦植友</t>
  </si>
  <si>
    <t>5.3×6.4×5.0</t>
  </si>
  <si>
    <t>0000048552</t>
  </si>
  <si>
    <t>徐绵友</t>
  </si>
  <si>
    <t>6.8×6.7×5.8</t>
  </si>
  <si>
    <t>0000052159</t>
  </si>
  <si>
    <t>陈天喜</t>
  </si>
  <si>
    <t>6.2×4.9×4.2</t>
  </si>
  <si>
    <t>0000058718</t>
  </si>
  <si>
    <t>张学才</t>
  </si>
  <si>
    <t>6.2×5.5×6.4</t>
  </si>
  <si>
    <t>0000059316</t>
  </si>
  <si>
    <t>夏远宏</t>
  </si>
  <si>
    <t>4.6×3.8×3.8</t>
  </si>
  <si>
    <t>0000060212</t>
  </si>
  <si>
    <t>王树平</t>
  </si>
  <si>
    <t>5.6×3.8×3.5</t>
  </si>
  <si>
    <t>0000063587</t>
  </si>
  <si>
    <t>王年贵</t>
  </si>
  <si>
    <t>4.9×4.1×3.5</t>
  </si>
  <si>
    <t>0000074116</t>
  </si>
  <si>
    <t>陈宗邦</t>
  </si>
  <si>
    <t>5.2×4.2×4.8</t>
  </si>
  <si>
    <t>0000078021</t>
  </si>
  <si>
    <t>潘友胜</t>
  </si>
  <si>
    <t>4.7×3.8×3.6</t>
  </si>
  <si>
    <t>0000085456</t>
  </si>
  <si>
    <t>韩德本</t>
  </si>
  <si>
    <t>5.7×5.4×4.8</t>
  </si>
  <si>
    <t>0000087010</t>
  </si>
  <si>
    <t>张守华</t>
  </si>
  <si>
    <t>5.4×4.7×4.4</t>
  </si>
  <si>
    <t>0000090107</t>
  </si>
  <si>
    <t>余国民</t>
  </si>
  <si>
    <t>5.6×6.4×5.4</t>
  </si>
  <si>
    <t>0000104196</t>
  </si>
  <si>
    <t>郭世莲</t>
  </si>
  <si>
    <t>4.8×4.4×4.7</t>
  </si>
  <si>
    <t>0000105926</t>
  </si>
  <si>
    <t>夏敬财</t>
  </si>
  <si>
    <t>5.6×3.9×5.1</t>
  </si>
  <si>
    <t>0000107750</t>
  </si>
  <si>
    <t>王为柱</t>
  </si>
  <si>
    <t>6.5×4.6×5.4</t>
  </si>
  <si>
    <t>0000108373</t>
  </si>
  <si>
    <t>张文智</t>
  </si>
  <si>
    <t>5.7×3.6×4.2</t>
  </si>
  <si>
    <t>0000110142</t>
  </si>
  <si>
    <t>候德沅</t>
  </si>
  <si>
    <t>0000112362</t>
  </si>
  <si>
    <t>高大发</t>
  </si>
  <si>
    <t>5.3×4.5×4.2</t>
  </si>
  <si>
    <t>0000117901</t>
  </si>
  <si>
    <t>盛达四</t>
  </si>
  <si>
    <t>5.9×5.2×6.0</t>
  </si>
  <si>
    <t>0000118039</t>
  </si>
  <si>
    <t>李福昌</t>
  </si>
  <si>
    <t>6.1×3.8×3.7</t>
  </si>
  <si>
    <t>0000120521</t>
  </si>
  <si>
    <t>陈鑫彦</t>
  </si>
  <si>
    <t>4.8×4.5×4.6</t>
  </si>
  <si>
    <t>0000129347</t>
  </si>
  <si>
    <t>张建设</t>
  </si>
  <si>
    <t>4.8×3.4×4.7</t>
  </si>
  <si>
    <t>0000131712</t>
  </si>
  <si>
    <t>杨永生</t>
  </si>
  <si>
    <t>4.6×5.9×3.6</t>
  </si>
  <si>
    <t>0000136475</t>
  </si>
  <si>
    <t>张忠巧</t>
  </si>
  <si>
    <t>5.1×4.5×3.7</t>
  </si>
  <si>
    <t>0000144965</t>
  </si>
  <si>
    <t>张家波</t>
  </si>
  <si>
    <t>5.7×4.0×6.2</t>
  </si>
  <si>
    <t>0000145995</t>
  </si>
  <si>
    <t>李方金</t>
  </si>
  <si>
    <t>4.7×5.8×3.8</t>
  </si>
  <si>
    <t>0000148463</t>
  </si>
  <si>
    <t xml:space="preserve"> 郁玉金</t>
  </si>
  <si>
    <t>7.3×7.8 ×6.3</t>
  </si>
  <si>
    <t>0000150334</t>
  </si>
  <si>
    <t>赵俊</t>
  </si>
  <si>
    <t>5.6×4.5×5.5</t>
  </si>
  <si>
    <t>0000155822</t>
  </si>
  <si>
    <t>计宗财</t>
  </si>
  <si>
    <t>6.0×4.1×5.0</t>
  </si>
  <si>
    <t>0000160051</t>
  </si>
  <si>
    <t>何先龙</t>
  </si>
  <si>
    <t>5.9×5.7×5.0</t>
  </si>
  <si>
    <t>0000167170</t>
  </si>
  <si>
    <t>张正华</t>
  </si>
  <si>
    <t>5.9×4.7×4.9</t>
  </si>
  <si>
    <t>0000174669</t>
  </si>
  <si>
    <t>陈道成</t>
  </si>
  <si>
    <t>5.1×4.0×3.7</t>
  </si>
  <si>
    <t>0000175288</t>
  </si>
  <si>
    <t>钱绍会</t>
  </si>
  <si>
    <t>6.7×4.8×7.5</t>
  </si>
  <si>
    <t>√</t>
  </si>
  <si>
    <t>0000175632</t>
  </si>
  <si>
    <t>张经善</t>
  </si>
  <si>
    <t>5.9×4.1×4.9</t>
  </si>
  <si>
    <t>0000179316</t>
  </si>
  <si>
    <t>何志清</t>
  </si>
  <si>
    <t>5.5×5.6×6.6</t>
  </si>
  <si>
    <t>0000186988</t>
  </si>
  <si>
    <t>邱以华</t>
  </si>
  <si>
    <t>5.0×4.5×4.1</t>
  </si>
  <si>
    <t>0000194450</t>
  </si>
  <si>
    <t>叶大才</t>
  </si>
  <si>
    <t>5.6×5.7×5.1</t>
  </si>
  <si>
    <t>0000197796</t>
  </si>
  <si>
    <t>高宗保</t>
  </si>
  <si>
    <t>6.4×6.2×4.9</t>
  </si>
  <si>
    <t>0000206200</t>
  </si>
  <si>
    <t>计宗印</t>
  </si>
  <si>
    <t>5.4×6.2×4.5</t>
  </si>
  <si>
    <t>0000222648</t>
  </si>
  <si>
    <t>宋自平</t>
  </si>
  <si>
    <t>5.2×4.3×6.0</t>
  </si>
  <si>
    <t>0000222672</t>
  </si>
  <si>
    <t>朱云海</t>
  </si>
  <si>
    <t>4.9×5.7×3.3</t>
  </si>
  <si>
    <t>0000237262</t>
  </si>
  <si>
    <t>董均</t>
  </si>
  <si>
    <t>5.3×3.7×4.8</t>
  </si>
  <si>
    <t>0000243110</t>
  </si>
  <si>
    <t>秦克财</t>
  </si>
  <si>
    <t>5.6×5.4×4.6</t>
  </si>
  <si>
    <t>0000243734</t>
  </si>
  <si>
    <t>谷啟义</t>
  </si>
  <si>
    <t>5.5×6.5×4.5</t>
  </si>
  <si>
    <t>0000250198</t>
  </si>
  <si>
    <t>徐永习</t>
  </si>
  <si>
    <t>5.3×4.9×4.0</t>
  </si>
  <si>
    <t>0000254431</t>
  </si>
  <si>
    <t>胡文光</t>
  </si>
  <si>
    <t>5.7×4.2×4.8</t>
  </si>
  <si>
    <t>0000255921</t>
  </si>
  <si>
    <t>朱家兴</t>
  </si>
  <si>
    <t>5.4×7.3×4.3</t>
  </si>
  <si>
    <t>0000259996</t>
  </si>
  <si>
    <t>周传瑜</t>
  </si>
  <si>
    <t>6.2×4.5×5.4</t>
  </si>
  <si>
    <t>0000266857</t>
  </si>
  <si>
    <t>洪英武</t>
  </si>
  <si>
    <t>4.8×4.0×3.6</t>
  </si>
  <si>
    <t>0000267478</t>
  </si>
  <si>
    <t>印安富</t>
  </si>
  <si>
    <t>8.2×9.5×7.8</t>
  </si>
  <si>
    <t>0000270372</t>
  </si>
  <si>
    <t>毛由文</t>
  </si>
  <si>
    <t>5.3×4.0×4.5</t>
  </si>
  <si>
    <t>0000277340</t>
  </si>
  <si>
    <t>朱家龙</t>
  </si>
  <si>
    <t>6.9×5.6×5.7</t>
  </si>
  <si>
    <t>0000279522</t>
  </si>
  <si>
    <t>张宗金</t>
  </si>
  <si>
    <t>7.1×5.4×7.2</t>
  </si>
  <si>
    <t>0000284822</t>
  </si>
  <si>
    <t>胡家奇</t>
  </si>
  <si>
    <t>5.2×4.2×6.6</t>
  </si>
  <si>
    <t>0000288928</t>
  </si>
  <si>
    <t>方云</t>
  </si>
  <si>
    <t>6.1×5.1×4.9</t>
  </si>
  <si>
    <t>0000309059</t>
  </si>
  <si>
    <t>汤代保</t>
  </si>
  <si>
    <t>5.3×5.5×3.2</t>
  </si>
  <si>
    <t>0000310016</t>
  </si>
  <si>
    <t>王芝华</t>
  </si>
  <si>
    <t>5.6×6.2×4.5</t>
  </si>
  <si>
    <t>0000310294</t>
  </si>
  <si>
    <t>吴锡利</t>
  </si>
  <si>
    <t>5.6×4.4×5.2</t>
  </si>
  <si>
    <t>0000330302</t>
  </si>
  <si>
    <t>金司水</t>
  </si>
  <si>
    <t>5.8×4.8×4.1</t>
  </si>
  <si>
    <t>0000336244</t>
  </si>
  <si>
    <t>王年山</t>
  </si>
  <si>
    <t>5.4×4.6×5.9</t>
  </si>
  <si>
    <t>0000346254</t>
  </si>
  <si>
    <t>甘胜华</t>
  </si>
  <si>
    <t>6.4×6.0×4.5</t>
  </si>
  <si>
    <t>0000347848</t>
  </si>
  <si>
    <t>李春芳</t>
  </si>
  <si>
    <t>6.3×5.6×6.7</t>
  </si>
  <si>
    <t>0000350422</t>
  </si>
  <si>
    <t>张仁义</t>
  </si>
  <si>
    <t>5.7×4.2×3.8</t>
  </si>
  <si>
    <t>0000355002</t>
  </si>
  <si>
    <t>夏朝凤</t>
  </si>
  <si>
    <t>5.7×5.4×4.3</t>
  </si>
  <si>
    <t>0000358375</t>
  </si>
  <si>
    <t>张庭西</t>
  </si>
  <si>
    <t>5.5×5.1×6.0</t>
  </si>
  <si>
    <t>0000374176</t>
  </si>
  <si>
    <t>骆方托</t>
  </si>
  <si>
    <t>6.7×5.0×4.6</t>
  </si>
  <si>
    <t>0000391988</t>
  </si>
  <si>
    <t>鲁正明</t>
  </si>
  <si>
    <t>4.9×4.5×4.3</t>
  </si>
  <si>
    <t>0000408831</t>
  </si>
  <si>
    <t>何议斌</t>
  </si>
  <si>
    <t>4.6×3.5×4.3</t>
  </si>
  <si>
    <t>0000412646</t>
  </si>
  <si>
    <t>任发保</t>
  </si>
  <si>
    <t>6.1×5.4×6.9</t>
  </si>
  <si>
    <t>0000414046</t>
  </si>
  <si>
    <t>赵德玉</t>
  </si>
  <si>
    <t>5.2×4.6×3.8</t>
  </si>
  <si>
    <t>0000419996</t>
  </si>
  <si>
    <t>王进</t>
  </si>
  <si>
    <t>6.0×6.2×4.8</t>
  </si>
  <si>
    <t>0000423904</t>
  </si>
  <si>
    <t>秦书福</t>
  </si>
  <si>
    <t>6.0×4.4×6.8</t>
  </si>
  <si>
    <t>0000443179</t>
  </si>
  <si>
    <t>郑文有</t>
  </si>
  <si>
    <t>6.7×6.0×5.2</t>
  </si>
  <si>
    <t>0000444675</t>
  </si>
  <si>
    <t>王水保</t>
  </si>
  <si>
    <t>6.1×4.8×6.4</t>
  </si>
  <si>
    <t>0000454815</t>
  </si>
  <si>
    <t>程世富</t>
  </si>
  <si>
    <t>4.6×3.1×3.8</t>
  </si>
  <si>
    <t>0000459711</t>
  </si>
  <si>
    <t>杨连宏</t>
  </si>
  <si>
    <t>5.2×3.8×5.3</t>
  </si>
  <si>
    <t>0000464299</t>
  </si>
  <si>
    <t>江龙轩</t>
  </si>
  <si>
    <t>6.1×6.2×4.9</t>
  </si>
  <si>
    <t>0000481493</t>
  </si>
  <si>
    <t>丁维生</t>
  </si>
  <si>
    <t>5.6×4.2×4.4</t>
  </si>
  <si>
    <t>0000483521</t>
  </si>
  <si>
    <t>张兴久</t>
  </si>
  <si>
    <t>6.8×7.0×5.8</t>
  </si>
  <si>
    <t>0000493392</t>
  </si>
  <si>
    <t>吴兆祥</t>
  </si>
  <si>
    <t>6.7×8.7×5.9</t>
  </si>
  <si>
    <t>0000494047</t>
  </si>
  <si>
    <t>赵行忠</t>
  </si>
  <si>
    <t>6.7×8.2×5.5</t>
  </si>
  <si>
    <t>0000494282</t>
  </si>
  <si>
    <t>朱开鸿</t>
  </si>
  <si>
    <t>5.2×4.8×5.0</t>
  </si>
  <si>
    <t>0000494711</t>
  </si>
  <si>
    <t>李善福</t>
  </si>
  <si>
    <t>4.8×4.6×4.2</t>
  </si>
  <si>
    <t>0000499805</t>
  </si>
  <si>
    <t>殷发华</t>
  </si>
  <si>
    <t>4.5×4.9×3.9</t>
  </si>
  <si>
    <t>0000503890</t>
  </si>
  <si>
    <t>李春运</t>
  </si>
  <si>
    <t>5.3×4.9×5.6</t>
  </si>
  <si>
    <t>0000507723</t>
  </si>
  <si>
    <t>王学军</t>
  </si>
  <si>
    <t>5.1×5.9×4.9</t>
  </si>
  <si>
    <t>0000514441</t>
  </si>
  <si>
    <t>谢崇俊</t>
  </si>
  <si>
    <t>5.4×5.6×4.9</t>
  </si>
  <si>
    <t>0000515635</t>
  </si>
  <si>
    <t>金诚友</t>
  </si>
  <si>
    <t>5.5×4.7×4.3</t>
  </si>
  <si>
    <t>0000518270</t>
  </si>
  <si>
    <t>李忠田</t>
  </si>
  <si>
    <t>5.4×4.0×4.5</t>
  </si>
  <si>
    <t>0000518461</t>
  </si>
  <si>
    <t>张忠荣</t>
  </si>
  <si>
    <t>5.1×4.1×5.3</t>
  </si>
  <si>
    <t>0000524410</t>
  </si>
  <si>
    <t>胡平</t>
  </si>
  <si>
    <t>5.7×4.7×5.8</t>
  </si>
  <si>
    <t>0000524583</t>
  </si>
  <si>
    <t>夏长信</t>
  </si>
  <si>
    <t>6.2×3.8×4.7</t>
  </si>
  <si>
    <t>0000525276</t>
  </si>
  <si>
    <t>彭国冾</t>
  </si>
  <si>
    <t>6.9×5.8×6.2</t>
  </si>
  <si>
    <t>0000530404</t>
  </si>
  <si>
    <t>丁咸福</t>
  </si>
  <si>
    <t>5.3×3.0×3.7</t>
  </si>
  <si>
    <t>0000531146</t>
  </si>
  <si>
    <t>童天照</t>
  </si>
  <si>
    <t>4.9×4.4×4.5</t>
  </si>
  <si>
    <t>0000532902</t>
  </si>
  <si>
    <t>章荣耀</t>
  </si>
  <si>
    <t>6.2×5.2×8.7</t>
  </si>
  <si>
    <t>0000535465</t>
  </si>
  <si>
    <t>张文早</t>
  </si>
  <si>
    <t>5.4×5.6×3.9</t>
  </si>
  <si>
    <t>0000542541</t>
  </si>
  <si>
    <t>汪恩有</t>
  </si>
  <si>
    <t>5.0×5.3×4.6</t>
  </si>
  <si>
    <t>0000547643</t>
  </si>
  <si>
    <t>徐学华</t>
  </si>
  <si>
    <t>5.3×5.8×4.7</t>
  </si>
  <si>
    <t>0000558957</t>
  </si>
  <si>
    <t>胡五一</t>
  </si>
  <si>
    <t>5.8×4.5×4.5</t>
  </si>
  <si>
    <t>0000562150</t>
  </si>
  <si>
    <t>丁方龙</t>
  </si>
  <si>
    <t>5.7×6.9×5.2</t>
  </si>
  <si>
    <t>0000572492</t>
  </si>
  <si>
    <t>宋夕山</t>
  </si>
  <si>
    <t>0000586332</t>
  </si>
  <si>
    <t>张凤义</t>
  </si>
  <si>
    <t>0000587071</t>
  </si>
  <si>
    <t>尹维贵</t>
  </si>
  <si>
    <t>5.4×4.7×3.9</t>
  </si>
  <si>
    <t>0000587395</t>
  </si>
  <si>
    <t>朱凌玉</t>
  </si>
  <si>
    <t>5.0×5.9×3.9</t>
  </si>
  <si>
    <t>0000587596</t>
  </si>
  <si>
    <t>张广友</t>
  </si>
  <si>
    <t>5.2×4.0×4.1</t>
  </si>
  <si>
    <t>0000596644</t>
  </si>
  <si>
    <t>毛友文</t>
  </si>
  <si>
    <t>5.8×6.1×5.1</t>
  </si>
  <si>
    <t>0000599371</t>
  </si>
  <si>
    <t>张可案</t>
  </si>
  <si>
    <t>5.3×4.7×5.5</t>
  </si>
  <si>
    <t>0000601678</t>
  </si>
  <si>
    <t>圣宗荣</t>
  </si>
  <si>
    <t>6.2×4.7×7.6</t>
  </si>
  <si>
    <t>0000605096</t>
  </si>
  <si>
    <t>陈华茂</t>
  </si>
  <si>
    <t>5.3×4.0×4.3</t>
  </si>
  <si>
    <t>0000611312</t>
  </si>
  <si>
    <t>谷继福</t>
  </si>
  <si>
    <t>6.2×5.1×6.2</t>
  </si>
  <si>
    <t>0000614113</t>
  </si>
  <si>
    <t>余松洲</t>
  </si>
  <si>
    <t>6.3×4.8×6.4</t>
  </si>
  <si>
    <t>0000615332</t>
  </si>
  <si>
    <t>周广银</t>
  </si>
  <si>
    <t>5.8×4.5×6.9</t>
  </si>
  <si>
    <t>0000625985</t>
  </si>
  <si>
    <t>朱春明</t>
  </si>
  <si>
    <t>5.5×6.0×4.5</t>
  </si>
  <si>
    <t>0000626657</t>
  </si>
  <si>
    <t>何建生</t>
  </si>
  <si>
    <t>7.0×5.4×8.9</t>
  </si>
  <si>
    <t>0000629449</t>
  </si>
  <si>
    <t>张学林</t>
  </si>
  <si>
    <t>6.7×5.5×7.1</t>
  </si>
  <si>
    <t>0000631260</t>
  </si>
  <si>
    <t>苏克才</t>
  </si>
  <si>
    <t>7.0×6.8×6.2</t>
  </si>
  <si>
    <t>0000641810</t>
  </si>
  <si>
    <t>汪国平</t>
  </si>
  <si>
    <t>5.2×6.9×4.0</t>
  </si>
  <si>
    <t>0000646396</t>
  </si>
  <si>
    <t>苏高春</t>
  </si>
  <si>
    <t>5.7×6.4×4.1</t>
  </si>
  <si>
    <t>0000650235</t>
  </si>
  <si>
    <t>任永华</t>
  </si>
  <si>
    <t>0000661886</t>
  </si>
  <si>
    <t>杨森</t>
  </si>
  <si>
    <t>6.9×6.7×5.2</t>
  </si>
  <si>
    <t>0000670060</t>
  </si>
  <si>
    <t>马作援</t>
  </si>
  <si>
    <t>4.9×3.5×3.4</t>
  </si>
  <si>
    <t>0000674288</t>
  </si>
  <si>
    <t>杨道兴</t>
  </si>
  <si>
    <t>5.5×4.6×6.6</t>
  </si>
  <si>
    <t>0000694632</t>
  </si>
  <si>
    <t>唐希伦</t>
  </si>
  <si>
    <t>6.8×7.9×6.3</t>
  </si>
  <si>
    <t>0000709182</t>
  </si>
  <si>
    <t>冯玉生</t>
  </si>
  <si>
    <t>6.4×5.6×6.0</t>
  </si>
  <si>
    <t>0000745786</t>
  </si>
  <si>
    <t>付吉沅</t>
  </si>
  <si>
    <t>5.6×5.3×3.8</t>
  </si>
  <si>
    <t>0000748787</t>
  </si>
  <si>
    <t>尹朝立</t>
  </si>
  <si>
    <t>5.6×5.6×5.0</t>
  </si>
  <si>
    <t>0000759575</t>
  </si>
  <si>
    <t>周怀付</t>
  </si>
  <si>
    <t>5.5×5.1×4.3</t>
  </si>
  <si>
    <t>0000764780</t>
  </si>
  <si>
    <t>朱明华</t>
  </si>
  <si>
    <t>5.6×4.1×5.3</t>
  </si>
  <si>
    <t>0000769810</t>
  </si>
  <si>
    <t>郑其明</t>
  </si>
  <si>
    <t>5.3×3.8×3.4</t>
  </si>
  <si>
    <t>0000775812</t>
  </si>
  <si>
    <t>詹绍平</t>
  </si>
  <si>
    <t>6.6×6.2×4.8</t>
  </si>
  <si>
    <t>0000788645</t>
  </si>
  <si>
    <t>谢广鑫</t>
  </si>
  <si>
    <t>0000792590</t>
  </si>
  <si>
    <t>姚昌兴</t>
  </si>
  <si>
    <t>4.4×4.1×3.1</t>
  </si>
  <si>
    <t>0000797798</t>
  </si>
  <si>
    <t>滕芝银</t>
  </si>
  <si>
    <t>6.2×5.1×6.5</t>
  </si>
  <si>
    <t>0000812983</t>
  </si>
  <si>
    <t>杨继付</t>
  </si>
  <si>
    <t>4.9××4.1</t>
  </si>
  <si>
    <t>0000819512</t>
  </si>
  <si>
    <t>夏大华</t>
  </si>
  <si>
    <t>6.4×5.7×6.9</t>
  </si>
  <si>
    <t>0000836817</t>
  </si>
  <si>
    <t>王德华</t>
  </si>
  <si>
    <t>5.5×4.0×4.7</t>
  </si>
  <si>
    <t>0000838323</t>
  </si>
  <si>
    <t>夏为洲</t>
  </si>
  <si>
    <t>6.1×5.3×4.7</t>
  </si>
  <si>
    <t>0000839896</t>
  </si>
  <si>
    <t>周跃</t>
  </si>
  <si>
    <t>5.7×5.6×5.6</t>
  </si>
  <si>
    <t>0000842206</t>
  </si>
  <si>
    <t>刘坤香</t>
  </si>
  <si>
    <t>5.8×4.2×5.9</t>
  </si>
  <si>
    <t>0000851425</t>
  </si>
  <si>
    <t>孙凤林</t>
  </si>
  <si>
    <t>5.7×6.8×6.0</t>
  </si>
  <si>
    <t>0000856425</t>
  </si>
  <si>
    <t>朱正贵</t>
  </si>
  <si>
    <t>5.0×4.4×5.5</t>
  </si>
  <si>
    <t>0000861155</t>
  </si>
  <si>
    <t>刘从炳</t>
  </si>
  <si>
    <t>0000863581</t>
  </si>
  <si>
    <t>刁俊宝</t>
  </si>
  <si>
    <t>5.3×4.6×4.8</t>
  </si>
  <si>
    <t>0000867115</t>
  </si>
  <si>
    <t>李道全</t>
  </si>
  <si>
    <t>6.9×6.0×6.4</t>
  </si>
  <si>
    <t>0000868707</t>
  </si>
  <si>
    <t>丁昌宗</t>
  </si>
  <si>
    <t>6.5×7.8×6.3</t>
  </si>
  <si>
    <t>0000874637</t>
  </si>
  <si>
    <t>姜自秀</t>
  </si>
  <si>
    <t>5.4×4.0×3.9</t>
  </si>
  <si>
    <t>0000880180</t>
  </si>
  <si>
    <t>方哑吧</t>
  </si>
  <si>
    <t>6.0×6.0×5.4</t>
  </si>
  <si>
    <t>0000881107</t>
  </si>
  <si>
    <t>何加兵</t>
  </si>
  <si>
    <t>6.5×5.6×5.8</t>
  </si>
  <si>
    <t>0000885544</t>
  </si>
  <si>
    <t>沈政平</t>
  </si>
  <si>
    <t>5.6×4.7×3.4</t>
  </si>
  <si>
    <t>0000902786</t>
  </si>
  <si>
    <t>裴吉银</t>
  </si>
  <si>
    <t>4.9×4.1×5.2</t>
  </si>
  <si>
    <t>0000909756</t>
  </si>
  <si>
    <t>盛耀庭</t>
  </si>
  <si>
    <t>5.7×4.3×5.8</t>
  </si>
  <si>
    <t>0000917594</t>
  </si>
  <si>
    <t>丁宏珠</t>
  </si>
  <si>
    <t>5.5×4.6×5.2</t>
  </si>
  <si>
    <t>0000919881</t>
  </si>
  <si>
    <t>李善成</t>
  </si>
  <si>
    <t>4.9×4.9×4.0</t>
  </si>
  <si>
    <t>0000949728</t>
  </si>
  <si>
    <t>秦成金</t>
  </si>
  <si>
    <t>5.4×4.5×5.1</t>
  </si>
  <si>
    <t>0000949892</t>
  </si>
  <si>
    <t>郭继富</t>
  </si>
  <si>
    <t>5.9×4.3×6.7</t>
  </si>
  <si>
    <t>0000953606</t>
  </si>
  <si>
    <t>周志林</t>
  </si>
  <si>
    <t>5.8×5.2×6.0</t>
  </si>
  <si>
    <t>0000957414</t>
  </si>
  <si>
    <t>蒋世银</t>
  </si>
  <si>
    <t>5.6×6.1×5.5</t>
  </si>
  <si>
    <t>0000957612</t>
  </si>
  <si>
    <t>管德芳</t>
  </si>
  <si>
    <t>5.8×4.6×4.4</t>
  </si>
  <si>
    <t>0000957649</t>
  </si>
  <si>
    <t>吴承法</t>
  </si>
  <si>
    <t>6.2×5.3×7.1</t>
  </si>
  <si>
    <t>0000959518</t>
  </si>
  <si>
    <t>沈春宏</t>
  </si>
  <si>
    <t>4.9×4.5×4.7</t>
  </si>
  <si>
    <t>0000960689</t>
  </si>
  <si>
    <t>杜平</t>
  </si>
  <si>
    <t>5.5×6.1×4.6</t>
  </si>
  <si>
    <t>0000965860</t>
  </si>
  <si>
    <t>徐道楠</t>
  </si>
  <si>
    <t>5.4×4.5×3.6</t>
  </si>
  <si>
    <t>0000968679</t>
  </si>
  <si>
    <t>夏可先</t>
  </si>
  <si>
    <t>4.9×4.7×6.5</t>
  </si>
  <si>
    <t>0000971401</t>
  </si>
  <si>
    <t>陈祖义</t>
  </si>
  <si>
    <t>5.7×7.3×4.3</t>
  </si>
  <si>
    <t>0000972532</t>
  </si>
  <si>
    <t>迟之灿</t>
  </si>
  <si>
    <t>5.6×4.6×6.2</t>
  </si>
  <si>
    <t>0000974277</t>
  </si>
  <si>
    <t>冯培志</t>
  </si>
  <si>
    <t>6.0×4.6×3.7</t>
  </si>
  <si>
    <t>0000974295</t>
  </si>
  <si>
    <t>许复行</t>
  </si>
  <si>
    <t>5.6×4.5×6.7</t>
  </si>
  <si>
    <t>0000974922</t>
  </si>
  <si>
    <t>张邦银</t>
  </si>
  <si>
    <t>5.9×4.3×3.9</t>
  </si>
  <si>
    <t>0000985208</t>
  </si>
  <si>
    <t>郭荣财</t>
  </si>
  <si>
    <t>5.2×4.2×4.5</t>
  </si>
  <si>
    <t>0000986112</t>
  </si>
  <si>
    <t>许立贵</t>
  </si>
  <si>
    <t>5.2×4.8×4.1</t>
  </si>
  <si>
    <t>0000987054</t>
  </si>
  <si>
    <t>戴伯华</t>
  </si>
  <si>
    <t>5.8×4.6×5.5</t>
  </si>
  <si>
    <t>0000992352</t>
  </si>
  <si>
    <t>王德兴</t>
  </si>
  <si>
    <t>5.0×6.4×4.5</t>
  </si>
  <si>
    <t>0000997085</t>
  </si>
  <si>
    <t>朱新满</t>
  </si>
  <si>
    <t>6.3×5.3×6.3</t>
  </si>
  <si>
    <t>0001003143</t>
  </si>
  <si>
    <t>胡运铭</t>
  </si>
  <si>
    <t>0001004516</t>
  </si>
  <si>
    <t>赵传发</t>
  </si>
  <si>
    <t>4.8×3.2×3.0</t>
  </si>
  <si>
    <t>0001005614</t>
  </si>
  <si>
    <t>周维龙</t>
  </si>
  <si>
    <t>5.0×4.0×3.0</t>
  </si>
  <si>
    <t>0001008561</t>
  </si>
  <si>
    <t>夏玉根</t>
  </si>
  <si>
    <t>5.9×5.5×7.9</t>
  </si>
  <si>
    <t>0001010008</t>
  </si>
  <si>
    <t>杨家发</t>
  </si>
  <si>
    <t>6.6×5.3×9.2</t>
  </si>
  <si>
    <t>0001023852</t>
  </si>
  <si>
    <t>徐纯忠</t>
  </si>
  <si>
    <t>6.2×5.7×5.9</t>
  </si>
  <si>
    <t>0000831893</t>
  </si>
  <si>
    <t>王庆金</t>
  </si>
  <si>
    <t>5.0×4.5×7.2</t>
  </si>
  <si>
    <t>0000055773</t>
  </si>
  <si>
    <t>李裕福</t>
  </si>
  <si>
    <t>7.2×5.8×7.6</t>
  </si>
  <si>
    <t>0001033210</t>
  </si>
  <si>
    <t>杨宗保</t>
  </si>
  <si>
    <t>5.6×4.5×4.8</t>
  </si>
  <si>
    <t>2%+</t>
  </si>
  <si>
    <t>0000661930</t>
  </si>
  <si>
    <t>周宏贵</t>
  </si>
  <si>
    <t>5.9×4.8×6.7</t>
  </si>
  <si>
    <t>7.1×6.8×6.2</t>
  </si>
  <si>
    <t>0000191032</t>
  </si>
  <si>
    <t>李龙玉</t>
  </si>
  <si>
    <t>5.2×4.4×5.4</t>
  </si>
  <si>
    <t>0000841616</t>
  </si>
  <si>
    <t>张昌保</t>
  </si>
  <si>
    <t>5.1×4.2×3.8</t>
  </si>
  <si>
    <t>0000015040</t>
  </si>
  <si>
    <t>霍伍龙</t>
  </si>
  <si>
    <t>5.7×7.4×5.5</t>
  </si>
  <si>
    <t>0000023688</t>
  </si>
  <si>
    <t>杨兴海</t>
  </si>
  <si>
    <t>5.9×5.0×7.7</t>
  </si>
  <si>
    <t>0001041935</t>
  </si>
  <si>
    <t>吕勇</t>
  </si>
  <si>
    <t>6.9×5.9×5.7</t>
  </si>
  <si>
    <t>0000430653</t>
  </si>
  <si>
    <t>李兴华</t>
  </si>
  <si>
    <t>5.4×3.6×7.3</t>
  </si>
  <si>
    <t>0000609272</t>
  </si>
  <si>
    <t>王寅生</t>
  </si>
  <si>
    <t>4.6×3.6×6.1</t>
  </si>
  <si>
    <t>0000857651</t>
  </si>
  <si>
    <t>谢玉春</t>
  </si>
  <si>
    <t>5.3×3.6×4.9</t>
  </si>
  <si>
    <t>0000253467</t>
  </si>
  <si>
    <t>李庆厚</t>
  </si>
  <si>
    <t>5.2×6.2×3.9</t>
  </si>
  <si>
    <t>0000586369</t>
  </si>
  <si>
    <t>汤吉云</t>
  </si>
  <si>
    <t>6.0×5.4×6.6</t>
  </si>
  <si>
    <t>0000324834</t>
  </si>
  <si>
    <t>周荣彬</t>
  </si>
  <si>
    <t>6.0×4.9×6.0</t>
  </si>
  <si>
    <t>0000029956</t>
  </si>
  <si>
    <t>陈广勤</t>
  </si>
  <si>
    <t>6.0×6.4×4.4</t>
  </si>
  <si>
    <t>0000276005</t>
  </si>
  <si>
    <t>李殿义</t>
  </si>
  <si>
    <t>5.4×4.5×4.6</t>
  </si>
  <si>
    <t>0000146831</t>
  </si>
  <si>
    <t>童家兴</t>
  </si>
  <si>
    <t>0001059910</t>
  </si>
  <si>
    <t>黄开文</t>
  </si>
  <si>
    <t>4.9×4.6×3.3</t>
  </si>
  <si>
    <t>0000335924</t>
  </si>
  <si>
    <t>邵可明</t>
  </si>
  <si>
    <t>5.7×4.8×7.4</t>
  </si>
  <si>
    <t>0000116111</t>
  </si>
  <si>
    <t>夏明武</t>
  </si>
  <si>
    <t>5.0×4.0×5.6</t>
  </si>
  <si>
    <t>0001066533</t>
  </si>
  <si>
    <t>艾自胜</t>
  </si>
  <si>
    <t>5.2×5.1×5.8</t>
  </si>
  <si>
    <t>0000050862</t>
  </si>
  <si>
    <t>王厚亮</t>
  </si>
  <si>
    <t>5.9×5.4×4.0</t>
  </si>
  <si>
    <t>0000708021</t>
  </si>
  <si>
    <t>艾徐新</t>
  </si>
  <si>
    <t>5.6×5.1×4.7</t>
  </si>
  <si>
    <t>0000652871</t>
  </si>
  <si>
    <t>孙义权</t>
  </si>
  <si>
    <t>5.1×4.7×3.9</t>
  </si>
  <si>
    <t>0000053950</t>
  </si>
  <si>
    <t>汪诗财</t>
  </si>
  <si>
    <t>4.8×4.2×5.5</t>
  </si>
  <si>
    <t>0000219983</t>
  </si>
  <si>
    <t>陆兆付</t>
  </si>
  <si>
    <t>7.2×6.0×7.0</t>
  </si>
  <si>
    <t>0000960809</t>
  </si>
  <si>
    <t>王传祥</t>
  </si>
  <si>
    <t>5.5×4.3×5.8</t>
  </si>
  <si>
    <t>0001075087</t>
  </si>
  <si>
    <t>路胜先</t>
  </si>
  <si>
    <t>5.3×3.4×3.7</t>
  </si>
  <si>
    <t>0000733896</t>
  </si>
  <si>
    <t>张平山</t>
  </si>
  <si>
    <t>5.8×4.7×4.2</t>
  </si>
  <si>
    <t>0001077461</t>
  </si>
  <si>
    <t>苏四金</t>
  </si>
  <si>
    <t>5.4×4.5×6.1</t>
  </si>
  <si>
    <t>0001029966</t>
  </si>
  <si>
    <t>左家平</t>
  </si>
  <si>
    <t>6.8×5.2×4.5</t>
  </si>
  <si>
    <t>0000078292</t>
  </si>
  <si>
    <t>施建钢</t>
  </si>
  <si>
    <t>6.1×4.8×4.2</t>
  </si>
  <si>
    <t>0000005610</t>
  </si>
  <si>
    <t>芮守阳</t>
  </si>
  <si>
    <t>5.7×4.6×5.4</t>
  </si>
  <si>
    <t>0000175625</t>
  </si>
  <si>
    <t>申仕如</t>
  </si>
  <si>
    <t>5.7×5.1×4.6</t>
  </si>
  <si>
    <t>0000118185</t>
  </si>
  <si>
    <t>刘家昌</t>
  </si>
  <si>
    <t>6.6×5.6×4.9</t>
  </si>
  <si>
    <t>0000091779</t>
  </si>
  <si>
    <t>刘国梁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</si>
</sst>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theme="1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8" fillId="0" borderId="0" xfId="0" applyFont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8" fillId="4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7" fillId="0" borderId="1" xfId="0" applyFont="1" applyBorder="1" applyAlignment="1" quotePrefix="1">
      <alignment horizontal="center" vertical="center" wrapText="1"/>
    </xf>
    <xf numFmtId="0" fontId="7" fillId="0" borderId="1" xfId="0" applyFont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7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89"/>
  <sheetViews>
    <sheetView tabSelected="1" zoomScale="55" zoomScaleNormal="55" workbookViewId="0">
      <pane ySplit="1" topLeftCell="A9" activePane="bottomLeft" state="frozen"/>
      <selection/>
      <selection pane="bottomLeft" activeCell="P1" sqref="P$1:R$1048576"/>
    </sheetView>
  </sheetViews>
  <sheetFormatPr defaultColWidth="9" defaultRowHeight="13.5"/>
  <cols>
    <col min="1" max="1" width="7.2212389380531" style="25" customWidth="1"/>
    <col min="2" max="2" width="15.8849557522124" style="25" customWidth="1"/>
    <col min="3" max="3" width="14.3362831858407" style="26" customWidth="1"/>
    <col min="4" max="5" width="9" style="25" customWidth="1"/>
    <col min="6" max="8" width="26.4424778761062" style="25" customWidth="1"/>
    <col min="9" max="9" width="11.4424778761062" style="25" customWidth="1"/>
    <col min="10" max="10" width="14.3362831858407" style="26" customWidth="1"/>
    <col min="11" max="11" width="11.1061946902655" style="25" customWidth="1"/>
    <col min="12" max="13" width="9" style="25" customWidth="1"/>
    <col min="14" max="14" width="18.6637168141593" style="27" customWidth="1"/>
    <col min="15" max="15" width="13.7787610619469" style="27" customWidth="1"/>
  </cols>
  <sheetData>
    <row r="1" ht="40.05" customHeight="1" spans="1:15">
      <c r="A1" s="5" t="s">
        <v>0</v>
      </c>
      <c r="B1" s="5" t="s">
        <v>1</v>
      </c>
      <c r="C1" s="28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31" t="s">
        <v>8</v>
      </c>
      <c r="J1" s="32" t="s">
        <v>9</v>
      </c>
      <c r="K1" s="31" t="s">
        <v>10</v>
      </c>
      <c r="L1" s="7" t="s">
        <v>11</v>
      </c>
      <c r="M1" s="33" t="s">
        <v>6</v>
      </c>
      <c r="N1" s="34" t="s">
        <v>12</v>
      </c>
      <c r="O1" s="34" t="s">
        <v>13</v>
      </c>
    </row>
    <row r="2" ht="88.15" spans="1:15">
      <c r="A2" s="9">
        <v>1</v>
      </c>
      <c r="B2" s="56" t="s">
        <v>14</v>
      </c>
      <c r="C2" s="9">
        <v>1</v>
      </c>
      <c r="D2" s="9" t="s">
        <v>15</v>
      </c>
      <c r="E2" s="9">
        <v>70</v>
      </c>
      <c r="F2" s="9">
        <f>5.7*5.6*5.4</f>
        <v>172.368</v>
      </c>
      <c r="G2" s="9">
        <f>5.7*5.6*5.4</f>
        <v>172.368</v>
      </c>
      <c r="H2" s="9">
        <f>G2*0.52</f>
        <v>89.63136</v>
      </c>
      <c r="I2" s="9" t="s">
        <v>16</v>
      </c>
      <c r="J2" s="9" t="s">
        <v>17</v>
      </c>
      <c r="K2" s="9">
        <v>2</v>
      </c>
      <c r="L2" s="9">
        <v>1</v>
      </c>
      <c r="M2" s="35">
        <v>1</v>
      </c>
      <c r="N2" s="27">
        <v>0</v>
      </c>
      <c r="O2" s="27">
        <v>0</v>
      </c>
    </row>
    <row r="3" ht="88.15" spans="1:15">
      <c r="A3" s="9">
        <v>2</v>
      </c>
      <c r="B3" s="56" t="s">
        <v>18</v>
      </c>
      <c r="C3" s="9">
        <v>0</v>
      </c>
      <c r="D3" s="9" t="s">
        <v>19</v>
      </c>
      <c r="E3" s="9">
        <v>62</v>
      </c>
      <c r="F3" s="9">
        <f>5.6*3.9*4.5</f>
        <v>98.28</v>
      </c>
      <c r="G3" s="9">
        <f>5.6*3.9*4.5</f>
        <v>98.28</v>
      </c>
      <c r="H3" s="9">
        <f t="shared" ref="H3:H66" si="0">G3*0.52</f>
        <v>51.1056</v>
      </c>
      <c r="I3" s="9" t="s">
        <v>20</v>
      </c>
      <c r="J3" s="9" t="s">
        <v>21</v>
      </c>
      <c r="K3" s="9">
        <v>2</v>
      </c>
      <c r="L3" s="9">
        <v>1</v>
      </c>
      <c r="M3" s="35">
        <v>1</v>
      </c>
      <c r="N3" s="27">
        <v>0</v>
      </c>
      <c r="O3" s="27">
        <v>0</v>
      </c>
    </row>
    <row r="4" ht="70.5" spans="1:15">
      <c r="A4" s="9">
        <v>3</v>
      </c>
      <c r="B4" s="56" t="s">
        <v>22</v>
      </c>
      <c r="C4" s="9">
        <v>1</v>
      </c>
      <c r="D4" s="9" t="s">
        <v>23</v>
      </c>
      <c r="E4" s="9">
        <v>80</v>
      </c>
      <c r="F4" s="9">
        <f>4.7*4.4*3.6</f>
        <v>74.448</v>
      </c>
      <c r="G4" s="9">
        <f>4.7*4.4*3.6</f>
        <v>74.448</v>
      </c>
      <c r="H4" s="9">
        <f t="shared" si="0"/>
        <v>38.71296</v>
      </c>
      <c r="I4" s="9" t="s">
        <v>16</v>
      </c>
      <c r="J4" s="9" t="s">
        <v>17</v>
      </c>
      <c r="K4" s="9">
        <v>2</v>
      </c>
      <c r="L4" s="9">
        <v>1</v>
      </c>
      <c r="M4" s="35">
        <v>1</v>
      </c>
      <c r="N4" s="27">
        <v>0</v>
      </c>
      <c r="O4" s="27">
        <v>0</v>
      </c>
    </row>
    <row r="5" ht="35.25" spans="1:15">
      <c r="A5" s="9">
        <v>4</v>
      </c>
      <c r="B5" s="57" t="s">
        <v>24</v>
      </c>
      <c r="C5" s="9">
        <v>1</v>
      </c>
      <c r="D5" s="8" t="s">
        <v>25</v>
      </c>
      <c r="E5" s="29">
        <v>60</v>
      </c>
      <c r="F5" s="9">
        <f>4.3*7.8*3.7</f>
        <v>124.098</v>
      </c>
      <c r="G5" s="9">
        <f>4.3*7.8*3.7</f>
        <v>124.098</v>
      </c>
      <c r="H5" s="9">
        <f t="shared" si="0"/>
        <v>64.53096</v>
      </c>
      <c r="I5" s="9" t="s">
        <v>26</v>
      </c>
      <c r="J5" s="9" t="s">
        <v>27</v>
      </c>
      <c r="K5" s="9">
        <v>10</v>
      </c>
      <c r="L5" s="9">
        <v>1</v>
      </c>
      <c r="M5" s="35">
        <v>1</v>
      </c>
      <c r="N5" s="27">
        <v>0</v>
      </c>
      <c r="O5" s="27">
        <v>0</v>
      </c>
    </row>
    <row r="6" ht="70.5" spans="1:15">
      <c r="A6" s="9">
        <v>5</v>
      </c>
      <c r="B6" s="57" t="s">
        <v>28</v>
      </c>
      <c r="C6" s="9">
        <v>1</v>
      </c>
      <c r="D6" s="29" t="s">
        <v>29</v>
      </c>
      <c r="E6" s="29">
        <v>76</v>
      </c>
      <c r="F6" s="9">
        <f>5.4*4.5*4.4</f>
        <v>106.92</v>
      </c>
      <c r="G6" s="9">
        <f>5.4*4.5*4.4</f>
        <v>106.92</v>
      </c>
      <c r="H6" s="9">
        <f t="shared" si="0"/>
        <v>55.5984</v>
      </c>
      <c r="I6" s="9" t="s">
        <v>30</v>
      </c>
      <c r="J6" s="9" t="s">
        <v>31</v>
      </c>
      <c r="K6" s="9">
        <v>2</v>
      </c>
      <c r="L6" s="9">
        <v>1</v>
      </c>
      <c r="M6" s="35">
        <v>1</v>
      </c>
      <c r="N6" s="27">
        <v>0</v>
      </c>
      <c r="O6" s="27">
        <v>0</v>
      </c>
    </row>
    <row r="7" ht="105.75" spans="1:15">
      <c r="A7" s="9">
        <v>6</v>
      </c>
      <c r="B7" s="57" t="s">
        <v>32</v>
      </c>
      <c r="C7" s="9">
        <v>0</v>
      </c>
      <c r="D7" s="29" t="s">
        <v>33</v>
      </c>
      <c r="E7" s="29">
        <v>85</v>
      </c>
      <c r="F7" s="9" t="s">
        <v>34</v>
      </c>
      <c r="G7" s="9">
        <f>5.9*4.8*4</f>
        <v>113.28</v>
      </c>
      <c r="H7" s="9">
        <f t="shared" si="0"/>
        <v>58.9056</v>
      </c>
      <c r="I7" s="9" t="s">
        <v>20</v>
      </c>
      <c r="J7" s="9" t="s">
        <v>21</v>
      </c>
      <c r="K7" s="9">
        <v>5</v>
      </c>
      <c r="L7" s="9">
        <v>1</v>
      </c>
      <c r="M7" s="35">
        <v>1</v>
      </c>
      <c r="N7" s="27">
        <v>0</v>
      </c>
      <c r="O7" s="27">
        <v>0</v>
      </c>
    </row>
    <row r="8" ht="105.75" spans="1:15">
      <c r="A8" s="9">
        <v>7</v>
      </c>
      <c r="B8" s="56" t="s">
        <v>35</v>
      </c>
      <c r="C8" s="9">
        <v>1</v>
      </c>
      <c r="D8" s="9" t="s">
        <v>36</v>
      </c>
      <c r="E8" s="9">
        <v>73</v>
      </c>
      <c r="F8" s="9" t="s">
        <v>37</v>
      </c>
      <c r="G8" s="9">
        <f>6.3*5.5*7.3</f>
        <v>252.945</v>
      </c>
      <c r="H8" s="9">
        <f t="shared" si="0"/>
        <v>131.5314</v>
      </c>
      <c r="I8" s="9" t="s">
        <v>38</v>
      </c>
      <c r="J8" s="9" t="s">
        <v>39</v>
      </c>
      <c r="K8" s="9">
        <v>15</v>
      </c>
      <c r="L8" s="9">
        <v>1</v>
      </c>
      <c r="M8" s="35">
        <v>1</v>
      </c>
      <c r="N8" s="27">
        <v>0</v>
      </c>
      <c r="O8" s="27">
        <v>1</v>
      </c>
    </row>
    <row r="9" ht="70.5" spans="1:15">
      <c r="A9" s="9">
        <v>8</v>
      </c>
      <c r="B9" s="9" t="s">
        <v>40</v>
      </c>
      <c r="C9" s="9">
        <v>1</v>
      </c>
      <c r="D9" s="9" t="s">
        <v>41</v>
      </c>
      <c r="E9" s="9">
        <v>79</v>
      </c>
      <c r="F9" s="9" t="s">
        <v>42</v>
      </c>
      <c r="G9" s="9">
        <f>6.8*7.2*6.5</f>
        <v>318.24</v>
      </c>
      <c r="H9" s="9">
        <f t="shared" si="0"/>
        <v>165.4848</v>
      </c>
      <c r="I9" s="9" t="s">
        <v>26</v>
      </c>
      <c r="J9" s="9" t="s">
        <v>27</v>
      </c>
      <c r="K9" s="9">
        <v>10</v>
      </c>
      <c r="L9" s="9">
        <v>1</v>
      </c>
      <c r="M9" s="35">
        <v>1</v>
      </c>
      <c r="N9" s="27">
        <v>0</v>
      </c>
      <c r="O9" s="27">
        <v>0</v>
      </c>
    </row>
    <row r="10" ht="88.15" spans="1:15">
      <c r="A10" s="9">
        <v>9</v>
      </c>
      <c r="B10" s="57" t="s">
        <v>43</v>
      </c>
      <c r="C10" s="9">
        <v>0</v>
      </c>
      <c r="D10" s="29" t="s">
        <v>44</v>
      </c>
      <c r="E10" s="29">
        <v>77</v>
      </c>
      <c r="F10" s="9" t="s">
        <v>45</v>
      </c>
      <c r="G10" s="9">
        <f>4.5*3.7*3.6</f>
        <v>59.94</v>
      </c>
      <c r="H10" s="9">
        <f t="shared" si="0"/>
        <v>31.1688</v>
      </c>
      <c r="I10" s="9" t="s">
        <v>20</v>
      </c>
      <c r="J10" s="9" t="s">
        <v>21</v>
      </c>
      <c r="K10" s="9">
        <v>10</v>
      </c>
      <c r="L10" s="9">
        <v>1</v>
      </c>
      <c r="M10" s="35">
        <v>1</v>
      </c>
      <c r="N10" s="27">
        <v>0</v>
      </c>
      <c r="O10" s="27">
        <v>0</v>
      </c>
    </row>
    <row r="11" ht="52.9" spans="1:15">
      <c r="A11" s="9">
        <v>10</v>
      </c>
      <c r="B11" s="57" t="s">
        <v>46</v>
      </c>
      <c r="C11" s="9">
        <v>1</v>
      </c>
      <c r="D11" s="29" t="s">
        <v>47</v>
      </c>
      <c r="E11" s="29">
        <v>81</v>
      </c>
      <c r="F11" s="9" t="s">
        <v>48</v>
      </c>
      <c r="G11" s="9">
        <f>4.6*3.5*3.1</f>
        <v>49.91</v>
      </c>
      <c r="H11" s="9">
        <f t="shared" si="0"/>
        <v>25.9532</v>
      </c>
      <c r="I11" s="9" t="s">
        <v>16</v>
      </c>
      <c r="J11" s="9" t="s">
        <v>17</v>
      </c>
      <c r="K11" s="9">
        <v>2</v>
      </c>
      <c r="L11" s="9">
        <v>1</v>
      </c>
      <c r="M11" s="35">
        <v>1</v>
      </c>
      <c r="N11" s="27">
        <v>0</v>
      </c>
      <c r="O11" s="27">
        <v>1</v>
      </c>
    </row>
    <row r="12" ht="35.25" spans="1:15">
      <c r="A12" s="9">
        <v>11</v>
      </c>
      <c r="B12" s="56" t="s">
        <v>49</v>
      </c>
      <c r="C12" s="9">
        <v>0</v>
      </c>
      <c r="D12" s="9" t="s">
        <v>50</v>
      </c>
      <c r="E12" s="9">
        <v>74</v>
      </c>
      <c r="F12" s="9" t="s">
        <v>51</v>
      </c>
      <c r="G12" s="9">
        <f>5.4*4.1*4.8</f>
        <v>106.272</v>
      </c>
      <c r="H12" s="9">
        <f t="shared" si="0"/>
        <v>55.26144</v>
      </c>
      <c r="I12" s="9" t="s">
        <v>20</v>
      </c>
      <c r="J12" s="9" t="s">
        <v>21</v>
      </c>
      <c r="K12" s="9">
        <v>1</v>
      </c>
      <c r="L12" s="9">
        <v>1</v>
      </c>
      <c r="M12" s="35">
        <v>1</v>
      </c>
      <c r="N12" s="27">
        <v>0</v>
      </c>
      <c r="O12" s="27">
        <v>0</v>
      </c>
    </row>
    <row r="13" ht="70.5" spans="1:15">
      <c r="A13" s="9">
        <v>12</v>
      </c>
      <c r="B13" s="57" t="s">
        <v>52</v>
      </c>
      <c r="C13" s="9">
        <v>1</v>
      </c>
      <c r="D13" s="29" t="s">
        <v>53</v>
      </c>
      <c r="E13" s="29">
        <v>66</v>
      </c>
      <c r="F13" s="9" t="s">
        <v>54</v>
      </c>
      <c r="G13" s="9">
        <f>4.4*3.4*3.8</f>
        <v>56.848</v>
      </c>
      <c r="H13" s="9">
        <f t="shared" si="0"/>
        <v>29.56096</v>
      </c>
      <c r="I13" s="9" t="s">
        <v>30</v>
      </c>
      <c r="J13" s="9" t="s">
        <v>31</v>
      </c>
      <c r="K13" s="9">
        <v>2</v>
      </c>
      <c r="L13" s="9">
        <v>1</v>
      </c>
      <c r="M13" s="35">
        <v>1</v>
      </c>
      <c r="N13" s="27">
        <v>0</v>
      </c>
      <c r="O13" s="27">
        <v>1</v>
      </c>
    </row>
    <row r="14" ht="35.25" spans="1:15">
      <c r="A14" s="9">
        <v>13</v>
      </c>
      <c r="B14" s="57" t="s">
        <v>55</v>
      </c>
      <c r="C14" s="9">
        <v>1</v>
      </c>
      <c r="D14" s="29" t="s">
        <v>56</v>
      </c>
      <c r="E14" s="29">
        <v>72</v>
      </c>
      <c r="F14" s="9" t="s">
        <v>57</v>
      </c>
      <c r="G14" s="9">
        <f>5.2*4.1*3.5</f>
        <v>74.62</v>
      </c>
      <c r="H14" s="9">
        <f t="shared" si="0"/>
        <v>38.8024</v>
      </c>
      <c r="I14" s="9" t="s">
        <v>30</v>
      </c>
      <c r="J14" s="9">
        <v>1</v>
      </c>
      <c r="K14" s="9">
        <v>2</v>
      </c>
      <c r="L14" s="9">
        <v>0</v>
      </c>
      <c r="M14" s="35">
        <v>1</v>
      </c>
      <c r="N14" s="27">
        <v>0</v>
      </c>
      <c r="O14" s="27">
        <v>0</v>
      </c>
    </row>
    <row r="15" ht="88.15" spans="1:15">
      <c r="A15" s="9">
        <v>14</v>
      </c>
      <c r="B15" s="9" t="s">
        <v>58</v>
      </c>
      <c r="C15" s="9">
        <v>1</v>
      </c>
      <c r="D15" s="9" t="s">
        <v>59</v>
      </c>
      <c r="E15" s="9">
        <v>80</v>
      </c>
      <c r="F15" s="9" t="s">
        <v>60</v>
      </c>
      <c r="G15" s="9">
        <f>5.1*4.3*4.2</f>
        <v>92.106</v>
      </c>
      <c r="H15" s="9">
        <f t="shared" si="0"/>
        <v>47.89512</v>
      </c>
      <c r="I15" s="9" t="s">
        <v>16</v>
      </c>
      <c r="J15" s="9" t="s">
        <v>17</v>
      </c>
      <c r="K15" s="9">
        <v>2</v>
      </c>
      <c r="L15" s="9">
        <v>1</v>
      </c>
      <c r="M15" s="35">
        <v>1</v>
      </c>
      <c r="N15" s="27">
        <v>0</v>
      </c>
      <c r="O15" s="27">
        <v>0</v>
      </c>
    </row>
    <row r="16" ht="70.5" spans="1:15">
      <c r="A16" s="9">
        <v>15</v>
      </c>
      <c r="B16" s="57" t="s">
        <v>61</v>
      </c>
      <c r="C16" s="9">
        <v>1</v>
      </c>
      <c r="D16" s="8" t="s">
        <v>62</v>
      </c>
      <c r="E16" s="29">
        <v>83</v>
      </c>
      <c r="F16" s="9" t="s">
        <v>63</v>
      </c>
      <c r="G16" s="9">
        <f>4.2*3.6*4.5</f>
        <v>68.04</v>
      </c>
      <c r="H16" s="9">
        <f t="shared" si="0"/>
        <v>35.3808</v>
      </c>
      <c r="I16" s="9" t="s">
        <v>16</v>
      </c>
      <c r="J16" s="9">
        <v>3</v>
      </c>
      <c r="K16" s="9">
        <v>5</v>
      </c>
      <c r="L16" s="9">
        <v>1</v>
      </c>
      <c r="M16" s="35">
        <v>1</v>
      </c>
      <c r="N16" s="27">
        <v>0</v>
      </c>
      <c r="O16" s="27">
        <v>1</v>
      </c>
    </row>
    <row r="17" ht="88.15" spans="1:15">
      <c r="A17" s="9">
        <v>16</v>
      </c>
      <c r="B17" s="57" t="s">
        <v>64</v>
      </c>
      <c r="C17" s="9">
        <v>1</v>
      </c>
      <c r="D17" s="29" t="s">
        <v>65</v>
      </c>
      <c r="E17" s="29">
        <v>64</v>
      </c>
      <c r="F17" s="9" t="s">
        <v>66</v>
      </c>
      <c r="G17" s="9">
        <f>4.7*4.1*3.6</f>
        <v>69.372</v>
      </c>
      <c r="H17" s="9">
        <f t="shared" si="0"/>
        <v>36.07344</v>
      </c>
      <c r="I17" s="9" t="s">
        <v>30</v>
      </c>
      <c r="J17" s="9" t="s">
        <v>31</v>
      </c>
      <c r="K17" s="9">
        <v>1</v>
      </c>
      <c r="L17" s="9">
        <v>1</v>
      </c>
      <c r="M17" s="35">
        <v>1</v>
      </c>
      <c r="N17" s="27">
        <v>0</v>
      </c>
      <c r="O17" s="27">
        <v>0</v>
      </c>
    </row>
    <row r="18" ht="70.5" spans="1:15">
      <c r="A18" s="9">
        <v>17</v>
      </c>
      <c r="B18" s="57" t="s">
        <v>67</v>
      </c>
      <c r="C18" s="9">
        <v>1</v>
      </c>
      <c r="D18" s="29" t="s">
        <v>68</v>
      </c>
      <c r="E18" s="29">
        <v>88</v>
      </c>
      <c r="F18" s="9" t="s">
        <v>69</v>
      </c>
      <c r="G18" s="9">
        <f>4.4*3.7*3.2</f>
        <v>52.096</v>
      </c>
      <c r="H18" s="9">
        <f t="shared" si="0"/>
        <v>27.08992</v>
      </c>
      <c r="I18" s="9" t="s">
        <v>30</v>
      </c>
      <c r="J18" s="9" t="s">
        <v>31</v>
      </c>
      <c r="K18" s="9">
        <v>1</v>
      </c>
      <c r="L18" s="9">
        <v>1</v>
      </c>
      <c r="M18" s="35">
        <v>1</v>
      </c>
      <c r="N18" s="27">
        <v>0</v>
      </c>
      <c r="O18" s="27">
        <v>1</v>
      </c>
    </row>
    <row r="19" ht="123.4" spans="1:15">
      <c r="A19" s="9">
        <v>18</v>
      </c>
      <c r="B19" s="57" t="s">
        <v>70</v>
      </c>
      <c r="C19" s="9">
        <v>1</v>
      </c>
      <c r="D19" s="8" t="s">
        <v>71</v>
      </c>
      <c r="E19" s="29">
        <v>78</v>
      </c>
      <c r="F19" s="9" t="s">
        <v>72</v>
      </c>
      <c r="G19" s="9">
        <f>5.2*4.1*3.9</f>
        <v>83.148</v>
      </c>
      <c r="H19" s="9">
        <f t="shared" si="0"/>
        <v>43.23696</v>
      </c>
      <c r="I19" s="9" t="s">
        <v>26</v>
      </c>
      <c r="J19" s="9" t="s">
        <v>27</v>
      </c>
      <c r="K19" s="9">
        <v>5</v>
      </c>
      <c r="L19" s="9">
        <v>1</v>
      </c>
      <c r="M19" s="35">
        <v>1</v>
      </c>
      <c r="N19" s="27">
        <v>0</v>
      </c>
      <c r="O19" s="27">
        <v>0</v>
      </c>
    </row>
    <row r="20" ht="88.15" spans="1:15">
      <c r="A20" s="9">
        <v>19</v>
      </c>
      <c r="B20" s="57" t="s">
        <v>73</v>
      </c>
      <c r="C20" s="9">
        <v>1</v>
      </c>
      <c r="D20" s="29" t="s">
        <v>74</v>
      </c>
      <c r="E20" s="29">
        <v>71</v>
      </c>
      <c r="F20" s="9" t="s">
        <v>75</v>
      </c>
      <c r="G20" s="9">
        <f>4.1*2.7*3.2</f>
        <v>35.424</v>
      </c>
      <c r="H20" s="9">
        <f t="shared" si="0"/>
        <v>18.42048</v>
      </c>
      <c r="I20" s="9" t="s">
        <v>38</v>
      </c>
      <c r="J20" s="9" t="s">
        <v>39</v>
      </c>
      <c r="K20" s="36">
        <v>10</v>
      </c>
      <c r="L20" s="36">
        <v>1</v>
      </c>
      <c r="M20" s="37">
        <v>1</v>
      </c>
      <c r="N20" s="27">
        <v>0</v>
      </c>
      <c r="O20" s="27">
        <v>0</v>
      </c>
    </row>
    <row r="21" ht="52.9" spans="1:15">
      <c r="A21" s="9">
        <v>20</v>
      </c>
      <c r="B21" s="57" t="s">
        <v>76</v>
      </c>
      <c r="C21" s="9">
        <v>1</v>
      </c>
      <c r="D21" s="29" t="s">
        <v>77</v>
      </c>
      <c r="E21" s="29">
        <v>72</v>
      </c>
      <c r="F21" s="9" t="s">
        <v>78</v>
      </c>
      <c r="G21" s="9">
        <f>4.3*2.7*3</f>
        <v>34.83</v>
      </c>
      <c r="H21" s="9">
        <f t="shared" si="0"/>
        <v>18.1116</v>
      </c>
      <c r="I21" s="9" t="s">
        <v>16</v>
      </c>
      <c r="J21" s="9" t="s">
        <v>17</v>
      </c>
      <c r="K21" s="9">
        <v>10</v>
      </c>
      <c r="L21" s="9">
        <v>1</v>
      </c>
      <c r="M21" s="35">
        <v>1</v>
      </c>
      <c r="N21" s="27">
        <v>0</v>
      </c>
      <c r="O21" s="27">
        <v>1</v>
      </c>
    </row>
    <row r="22" ht="88.15" spans="1:15">
      <c r="A22" s="9">
        <v>21</v>
      </c>
      <c r="B22" s="9" t="s">
        <v>79</v>
      </c>
      <c r="C22" s="9">
        <v>1</v>
      </c>
      <c r="D22" s="9" t="s">
        <v>80</v>
      </c>
      <c r="E22" s="9">
        <v>85</v>
      </c>
      <c r="F22" s="9" t="s">
        <v>81</v>
      </c>
      <c r="G22" s="9">
        <f>6.2*4.2*4.7</f>
        <v>122.388</v>
      </c>
      <c r="H22" s="9">
        <f t="shared" si="0"/>
        <v>63.64176</v>
      </c>
      <c r="I22" s="9" t="s">
        <v>16</v>
      </c>
      <c r="J22" s="9" t="s">
        <v>17</v>
      </c>
      <c r="K22" s="9">
        <v>2</v>
      </c>
      <c r="L22" s="9">
        <v>1</v>
      </c>
      <c r="M22" s="35">
        <v>1</v>
      </c>
      <c r="N22" s="27">
        <v>0</v>
      </c>
      <c r="O22" s="27">
        <v>0</v>
      </c>
    </row>
    <row r="23" ht="35.25" spans="1:15">
      <c r="A23" s="9">
        <v>22</v>
      </c>
      <c r="B23" s="57" t="s">
        <v>82</v>
      </c>
      <c r="C23" s="9">
        <v>1</v>
      </c>
      <c r="D23" s="29" t="s">
        <v>83</v>
      </c>
      <c r="E23" s="29">
        <v>80</v>
      </c>
      <c r="F23" s="9" t="s">
        <v>84</v>
      </c>
      <c r="G23" s="9">
        <f>6.1*4.6*6.2</f>
        <v>173.972</v>
      </c>
      <c r="H23" s="9">
        <f t="shared" si="0"/>
        <v>90.46544</v>
      </c>
      <c r="I23" s="9" t="s">
        <v>85</v>
      </c>
      <c r="J23" s="9" t="s">
        <v>39</v>
      </c>
      <c r="K23" s="36">
        <v>30</v>
      </c>
      <c r="L23" s="36">
        <v>1</v>
      </c>
      <c r="M23" s="37">
        <v>1</v>
      </c>
      <c r="N23" s="27">
        <v>0</v>
      </c>
      <c r="O23" s="27">
        <v>0</v>
      </c>
    </row>
    <row r="24" ht="88.15" spans="1:15">
      <c r="A24" s="9">
        <v>23</v>
      </c>
      <c r="B24" s="56" t="s">
        <v>86</v>
      </c>
      <c r="C24" s="9">
        <v>1</v>
      </c>
      <c r="D24" s="9" t="s">
        <v>87</v>
      </c>
      <c r="E24" s="9">
        <v>73</v>
      </c>
      <c r="F24" s="9" t="s">
        <v>88</v>
      </c>
      <c r="G24" s="9">
        <f>4.5*3.6*3.3</f>
        <v>53.46</v>
      </c>
      <c r="H24" s="9">
        <f t="shared" si="0"/>
        <v>27.7992</v>
      </c>
      <c r="I24" s="9" t="s">
        <v>30</v>
      </c>
      <c r="J24" s="9" t="s">
        <v>31</v>
      </c>
      <c r="K24" s="9">
        <v>2</v>
      </c>
      <c r="L24" s="9">
        <v>1</v>
      </c>
      <c r="M24" s="35">
        <v>1</v>
      </c>
      <c r="N24" s="27">
        <v>0</v>
      </c>
      <c r="O24" s="27">
        <v>1</v>
      </c>
    </row>
    <row r="25" ht="70.5" spans="1:15">
      <c r="A25" s="9">
        <v>24</v>
      </c>
      <c r="B25" s="57" t="s">
        <v>89</v>
      </c>
      <c r="C25" s="9">
        <v>1</v>
      </c>
      <c r="D25" s="29" t="s">
        <v>90</v>
      </c>
      <c r="E25" s="29">
        <v>62</v>
      </c>
      <c r="F25" s="9" t="s">
        <v>91</v>
      </c>
      <c r="G25" s="9">
        <f>4.6*3.3*2.5</f>
        <v>37.95</v>
      </c>
      <c r="H25" s="9">
        <f t="shared" si="0"/>
        <v>19.734</v>
      </c>
      <c r="I25" s="9" t="s">
        <v>30</v>
      </c>
      <c r="J25" s="9" t="s">
        <v>31</v>
      </c>
      <c r="K25" s="9">
        <v>2</v>
      </c>
      <c r="L25" s="9">
        <v>1</v>
      </c>
      <c r="M25" s="35">
        <v>1</v>
      </c>
      <c r="N25" s="27">
        <v>0</v>
      </c>
      <c r="O25" s="27">
        <v>0</v>
      </c>
    </row>
    <row r="26" ht="70.5" spans="1:15">
      <c r="A26" s="9">
        <v>25</v>
      </c>
      <c r="B26" s="57" t="s">
        <v>92</v>
      </c>
      <c r="C26" s="9">
        <v>1</v>
      </c>
      <c r="D26" s="29" t="s">
        <v>93</v>
      </c>
      <c r="E26" s="29">
        <v>80</v>
      </c>
      <c r="F26" s="9" t="s">
        <v>94</v>
      </c>
      <c r="G26" s="9">
        <f>3.5*5.1*3.3</f>
        <v>58.905</v>
      </c>
      <c r="H26" s="9">
        <f t="shared" si="0"/>
        <v>30.6306</v>
      </c>
      <c r="I26" s="9" t="s">
        <v>16</v>
      </c>
      <c r="J26" s="9" t="s">
        <v>17</v>
      </c>
      <c r="K26" s="9">
        <v>3</v>
      </c>
      <c r="L26" s="9">
        <v>1</v>
      </c>
      <c r="M26" s="35">
        <v>1</v>
      </c>
      <c r="N26" s="27">
        <v>0</v>
      </c>
      <c r="O26" s="27">
        <v>1</v>
      </c>
    </row>
    <row r="27" ht="52.9" spans="1:15">
      <c r="A27" s="9">
        <v>26</v>
      </c>
      <c r="B27" s="57" t="s">
        <v>95</v>
      </c>
      <c r="C27" s="9">
        <v>1</v>
      </c>
      <c r="D27" s="29" t="s">
        <v>96</v>
      </c>
      <c r="E27" s="29">
        <v>77</v>
      </c>
      <c r="F27" s="9" t="s">
        <v>97</v>
      </c>
      <c r="G27" s="9">
        <f>7.1*7.1*6.1</f>
        <v>307.501</v>
      </c>
      <c r="H27" s="9">
        <f t="shared" si="0"/>
        <v>159.90052</v>
      </c>
      <c r="I27" s="36" t="s">
        <v>98</v>
      </c>
      <c r="J27" s="9" t="s">
        <v>39</v>
      </c>
      <c r="K27" s="36">
        <v>30</v>
      </c>
      <c r="L27" s="36">
        <v>1</v>
      </c>
      <c r="M27" s="37">
        <v>1</v>
      </c>
      <c r="N27" s="27">
        <v>0</v>
      </c>
      <c r="O27" s="27">
        <v>1</v>
      </c>
    </row>
    <row r="28" ht="88.15" spans="1:15">
      <c r="A28" s="9">
        <v>27</v>
      </c>
      <c r="B28" s="9" t="s">
        <v>99</v>
      </c>
      <c r="C28" s="9">
        <v>1</v>
      </c>
      <c r="D28" s="9" t="s">
        <v>100</v>
      </c>
      <c r="E28" s="9">
        <v>58</v>
      </c>
      <c r="F28" s="9" t="s">
        <v>101</v>
      </c>
      <c r="G28" s="9">
        <f>3.7*3.1*4.8</f>
        <v>55.056</v>
      </c>
      <c r="H28" s="9">
        <f t="shared" si="0"/>
        <v>28.62912</v>
      </c>
      <c r="I28" s="9" t="s">
        <v>30</v>
      </c>
      <c r="J28" s="9" t="s">
        <v>31</v>
      </c>
      <c r="K28" s="9">
        <v>5</v>
      </c>
      <c r="L28" s="9">
        <v>1</v>
      </c>
      <c r="M28" s="35">
        <v>1</v>
      </c>
      <c r="N28" s="27">
        <v>0</v>
      </c>
      <c r="O28" s="27">
        <v>0</v>
      </c>
    </row>
    <row r="29" ht="35.25" spans="1:15">
      <c r="A29" s="9">
        <v>28</v>
      </c>
      <c r="B29" s="57" t="s">
        <v>102</v>
      </c>
      <c r="C29" s="9">
        <v>0</v>
      </c>
      <c r="D29" s="8" t="s">
        <v>103</v>
      </c>
      <c r="E29" s="29">
        <v>83</v>
      </c>
      <c r="F29" s="9" t="s">
        <v>104</v>
      </c>
      <c r="G29" s="9">
        <f>4.9*4.7*4</f>
        <v>92.12</v>
      </c>
      <c r="H29" s="9">
        <f t="shared" si="0"/>
        <v>47.9024</v>
      </c>
      <c r="I29" s="9" t="s">
        <v>20</v>
      </c>
      <c r="J29" s="9">
        <v>2</v>
      </c>
      <c r="K29" s="9">
        <v>5</v>
      </c>
      <c r="L29" s="9">
        <v>1</v>
      </c>
      <c r="M29" s="35">
        <v>1</v>
      </c>
      <c r="N29" s="27">
        <v>0</v>
      </c>
      <c r="O29" s="27">
        <v>0</v>
      </c>
    </row>
    <row r="30" ht="105.75" spans="1:15">
      <c r="A30" s="9">
        <v>29</v>
      </c>
      <c r="B30" s="57" t="s">
        <v>105</v>
      </c>
      <c r="C30" s="9">
        <v>0</v>
      </c>
      <c r="D30" s="29" t="s">
        <v>106</v>
      </c>
      <c r="E30" s="29">
        <v>72</v>
      </c>
      <c r="F30" s="9" t="s">
        <v>107</v>
      </c>
      <c r="G30" s="9">
        <f>4.7*3.3*3.2</f>
        <v>49.632</v>
      </c>
      <c r="H30" s="9">
        <f t="shared" si="0"/>
        <v>25.80864</v>
      </c>
      <c r="I30" s="9" t="s">
        <v>20</v>
      </c>
      <c r="J30" s="9" t="s">
        <v>21</v>
      </c>
      <c r="K30" s="9">
        <v>1</v>
      </c>
      <c r="L30" s="9">
        <v>1</v>
      </c>
      <c r="M30" s="35">
        <v>1</v>
      </c>
      <c r="N30" s="27">
        <v>0</v>
      </c>
      <c r="O30" s="27">
        <v>0</v>
      </c>
    </row>
    <row r="31" ht="123.4" spans="1:15">
      <c r="A31" s="9">
        <v>30</v>
      </c>
      <c r="B31" s="57" t="s">
        <v>108</v>
      </c>
      <c r="C31" s="9">
        <v>1</v>
      </c>
      <c r="D31" s="29" t="s">
        <v>109</v>
      </c>
      <c r="E31" s="29">
        <v>74</v>
      </c>
      <c r="F31" s="9" t="s">
        <v>110</v>
      </c>
      <c r="G31" s="9">
        <f>5*3.5*3.6</f>
        <v>63</v>
      </c>
      <c r="H31" s="9">
        <f t="shared" si="0"/>
        <v>32.76</v>
      </c>
      <c r="I31" s="9" t="s">
        <v>30</v>
      </c>
      <c r="J31" s="9" t="s">
        <v>31</v>
      </c>
      <c r="K31" s="9">
        <v>10</v>
      </c>
      <c r="L31" s="9">
        <v>1</v>
      </c>
      <c r="M31" s="35">
        <v>0</v>
      </c>
      <c r="N31" s="27">
        <v>0</v>
      </c>
      <c r="O31" s="27">
        <v>1</v>
      </c>
    </row>
    <row r="32" ht="123.4" spans="1:15">
      <c r="A32" s="9">
        <v>31</v>
      </c>
      <c r="B32" s="57" t="s">
        <v>111</v>
      </c>
      <c r="C32" s="9">
        <v>1</v>
      </c>
      <c r="D32" s="29" t="s">
        <v>112</v>
      </c>
      <c r="E32" s="29">
        <v>68</v>
      </c>
      <c r="F32" s="9" t="s">
        <v>113</v>
      </c>
      <c r="G32" s="9">
        <f>3.5*3*3.2</f>
        <v>33.6</v>
      </c>
      <c r="H32" s="9">
        <f t="shared" si="0"/>
        <v>17.472</v>
      </c>
      <c r="I32" s="9" t="s">
        <v>30</v>
      </c>
      <c r="J32" s="9" t="s">
        <v>31</v>
      </c>
      <c r="K32" s="9">
        <v>2</v>
      </c>
      <c r="L32" s="9">
        <v>1</v>
      </c>
      <c r="M32" s="35">
        <v>1</v>
      </c>
      <c r="N32" s="27">
        <v>0</v>
      </c>
      <c r="O32" s="27">
        <v>0</v>
      </c>
    </row>
    <row r="33" ht="17.65" spans="1:15">
      <c r="A33" s="9">
        <v>32</v>
      </c>
      <c r="B33" s="9" t="s">
        <v>114</v>
      </c>
      <c r="C33" s="9">
        <v>1</v>
      </c>
      <c r="D33" s="9" t="s">
        <v>115</v>
      </c>
      <c r="E33" s="9">
        <v>82</v>
      </c>
      <c r="F33" s="9" t="s">
        <v>116</v>
      </c>
      <c r="G33" s="9">
        <f>6.2*5.6*7.5</f>
        <v>260.4</v>
      </c>
      <c r="H33" s="9">
        <f t="shared" si="0"/>
        <v>135.408</v>
      </c>
      <c r="I33" s="9" t="s">
        <v>85</v>
      </c>
      <c r="J33" s="9" t="s">
        <v>39</v>
      </c>
      <c r="K33" s="9">
        <v>15</v>
      </c>
      <c r="L33" s="9">
        <v>1</v>
      </c>
      <c r="M33" s="35">
        <v>1</v>
      </c>
      <c r="N33" s="27">
        <v>0</v>
      </c>
      <c r="O33" s="27">
        <v>1</v>
      </c>
    </row>
    <row r="34" ht="17.65" spans="1:15">
      <c r="A34" s="9">
        <v>33</v>
      </c>
      <c r="B34" s="58" t="s">
        <v>117</v>
      </c>
      <c r="C34" s="9">
        <v>0</v>
      </c>
      <c r="D34" s="8" t="s">
        <v>118</v>
      </c>
      <c r="E34" s="8">
        <v>79</v>
      </c>
      <c r="F34" s="9" t="s">
        <v>119</v>
      </c>
      <c r="G34" s="9">
        <f>5.9*4.6*6.4</f>
        <v>173.696</v>
      </c>
      <c r="H34" s="9">
        <f t="shared" si="0"/>
        <v>90.32192</v>
      </c>
      <c r="I34" s="9" t="s">
        <v>20</v>
      </c>
      <c r="J34" s="9">
        <v>1</v>
      </c>
      <c r="K34" s="9">
        <v>2</v>
      </c>
      <c r="L34" s="9">
        <v>1</v>
      </c>
      <c r="M34" s="35">
        <v>1</v>
      </c>
      <c r="N34" s="27">
        <v>0</v>
      </c>
      <c r="O34" s="27">
        <v>1</v>
      </c>
    </row>
    <row r="35" ht="70.5" spans="1:15">
      <c r="A35" s="9">
        <v>34</v>
      </c>
      <c r="B35" s="57" t="s">
        <v>120</v>
      </c>
      <c r="C35" s="9">
        <v>1</v>
      </c>
      <c r="D35" s="29" t="s">
        <v>121</v>
      </c>
      <c r="E35" s="29">
        <v>70</v>
      </c>
      <c r="F35" s="9" t="s">
        <v>122</v>
      </c>
      <c r="G35" s="9">
        <f>5.1*3.6*3.9</f>
        <v>71.604</v>
      </c>
      <c r="H35" s="9">
        <f t="shared" si="0"/>
        <v>37.23408</v>
      </c>
      <c r="I35" s="9" t="s">
        <v>30</v>
      </c>
      <c r="J35" s="9" t="s">
        <v>31</v>
      </c>
      <c r="K35" s="9">
        <v>5</v>
      </c>
      <c r="L35" s="9">
        <v>1</v>
      </c>
      <c r="M35" s="35">
        <v>1</v>
      </c>
      <c r="N35" s="27">
        <v>0</v>
      </c>
      <c r="O35" s="27">
        <v>0</v>
      </c>
    </row>
    <row r="36" ht="123.4" spans="1:15">
      <c r="A36" s="9">
        <v>35</v>
      </c>
      <c r="B36" s="56" t="s">
        <v>123</v>
      </c>
      <c r="C36" s="9">
        <v>1</v>
      </c>
      <c r="D36" s="9" t="s">
        <v>124</v>
      </c>
      <c r="E36" s="9">
        <v>74</v>
      </c>
      <c r="F36" s="9" t="s">
        <v>125</v>
      </c>
      <c r="G36" s="9">
        <f>3.9*4.5*3.2</f>
        <v>56.16</v>
      </c>
      <c r="H36" s="9">
        <f t="shared" si="0"/>
        <v>29.2032</v>
      </c>
      <c r="I36" s="9" t="s">
        <v>16</v>
      </c>
      <c r="J36" s="9" t="s">
        <v>17</v>
      </c>
      <c r="K36" s="9">
        <v>15</v>
      </c>
      <c r="L36" s="9">
        <v>1</v>
      </c>
      <c r="M36" s="35">
        <v>1</v>
      </c>
      <c r="N36" s="27">
        <v>0</v>
      </c>
      <c r="O36" s="27">
        <v>0</v>
      </c>
    </row>
    <row r="37" ht="35.25" spans="1:15">
      <c r="A37" s="9">
        <v>36</v>
      </c>
      <c r="B37" s="57" t="s">
        <v>126</v>
      </c>
      <c r="C37" s="9">
        <v>1</v>
      </c>
      <c r="D37" s="29" t="s">
        <v>127</v>
      </c>
      <c r="E37" s="29">
        <v>70</v>
      </c>
      <c r="F37" s="9" t="s">
        <v>128</v>
      </c>
      <c r="G37" s="9">
        <f>6.2*3.7*5.7</f>
        <v>130.758</v>
      </c>
      <c r="H37" s="9">
        <f t="shared" si="0"/>
        <v>67.99416</v>
      </c>
      <c r="I37" s="9" t="s">
        <v>26</v>
      </c>
      <c r="J37" s="9" t="s">
        <v>27</v>
      </c>
      <c r="K37" s="9">
        <v>10</v>
      </c>
      <c r="L37" s="9">
        <v>1</v>
      </c>
      <c r="M37" s="35">
        <v>1</v>
      </c>
      <c r="N37" s="27">
        <v>0</v>
      </c>
      <c r="O37" s="27">
        <v>1</v>
      </c>
    </row>
    <row r="38" ht="88.15" spans="1:15">
      <c r="A38" s="9">
        <v>37</v>
      </c>
      <c r="B38" s="57" t="s">
        <v>129</v>
      </c>
      <c r="C38" s="9">
        <v>1</v>
      </c>
      <c r="D38" s="29" t="s">
        <v>130</v>
      </c>
      <c r="E38" s="29">
        <v>62</v>
      </c>
      <c r="F38" s="9" t="s">
        <v>131</v>
      </c>
      <c r="G38" s="9">
        <f>4.8*4.1*3.5</f>
        <v>68.88</v>
      </c>
      <c r="H38" s="9">
        <f t="shared" si="0"/>
        <v>35.8176</v>
      </c>
      <c r="I38" s="9" t="s">
        <v>26</v>
      </c>
      <c r="J38" s="9" t="s">
        <v>27</v>
      </c>
      <c r="K38" s="36">
        <v>10</v>
      </c>
      <c r="L38" s="36">
        <v>1</v>
      </c>
      <c r="M38" s="37">
        <v>1</v>
      </c>
      <c r="N38" s="27">
        <v>0</v>
      </c>
      <c r="O38" s="27">
        <v>0</v>
      </c>
    </row>
    <row r="39" ht="70.5" spans="1:15">
      <c r="A39" s="9">
        <v>38</v>
      </c>
      <c r="B39" s="56" t="s">
        <v>132</v>
      </c>
      <c r="C39" s="9">
        <v>1</v>
      </c>
      <c r="D39" s="9" t="s">
        <v>133</v>
      </c>
      <c r="E39" s="9">
        <v>74</v>
      </c>
      <c r="F39" s="9" t="s">
        <v>134</v>
      </c>
      <c r="G39" s="9">
        <f>3.3*1.9*2.9</f>
        <v>18.183</v>
      </c>
      <c r="H39" s="9">
        <f t="shared" si="0"/>
        <v>9.45516</v>
      </c>
      <c r="I39" s="9" t="s">
        <v>16</v>
      </c>
      <c r="J39" s="9" t="s">
        <v>17</v>
      </c>
      <c r="K39" s="9">
        <v>3</v>
      </c>
      <c r="L39" s="9">
        <v>1</v>
      </c>
      <c r="M39" s="35">
        <v>1</v>
      </c>
      <c r="N39" s="27">
        <v>0</v>
      </c>
      <c r="O39" s="27">
        <v>0</v>
      </c>
    </row>
    <row r="40" ht="35.25" spans="1:15">
      <c r="A40" s="9">
        <v>39</v>
      </c>
      <c r="B40" s="57" t="s">
        <v>135</v>
      </c>
      <c r="C40" s="9">
        <v>1</v>
      </c>
      <c r="D40" s="8" t="s">
        <v>136</v>
      </c>
      <c r="E40" s="29">
        <v>74</v>
      </c>
      <c r="F40" s="9" t="s">
        <v>137</v>
      </c>
      <c r="G40" s="9">
        <f>4.4*3.2*4.2</f>
        <v>59.136</v>
      </c>
      <c r="H40" s="9">
        <f t="shared" si="0"/>
        <v>30.75072</v>
      </c>
      <c r="I40" s="9" t="s">
        <v>85</v>
      </c>
      <c r="J40" s="9">
        <v>5</v>
      </c>
      <c r="K40" s="9">
        <v>15</v>
      </c>
      <c r="L40" s="9">
        <v>1</v>
      </c>
      <c r="M40" s="35">
        <v>1</v>
      </c>
      <c r="N40" s="27">
        <v>0</v>
      </c>
      <c r="O40" s="27">
        <v>0</v>
      </c>
    </row>
    <row r="41" ht="70.5" spans="1:15">
      <c r="A41" s="9">
        <v>40</v>
      </c>
      <c r="B41" s="57" t="s">
        <v>138</v>
      </c>
      <c r="C41" s="9">
        <v>1</v>
      </c>
      <c r="D41" s="29" t="s">
        <v>139</v>
      </c>
      <c r="E41" s="29">
        <v>83</v>
      </c>
      <c r="F41" s="9" t="s">
        <v>140</v>
      </c>
      <c r="G41" s="9">
        <f>5.4*4.7*4.3</f>
        <v>109.134</v>
      </c>
      <c r="H41" s="9">
        <f t="shared" si="0"/>
        <v>56.74968</v>
      </c>
      <c r="I41" s="9" t="s">
        <v>26</v>
      </c>
      <c r="J41" s="9" t="s">
        <v>27</v>
      </c>
      <c r="K41" s="9">
        <v>5</v>
      </c>
      <c r="L41" s="9">
        <v>1</v>
      </c>
      <c r="M41" s="35">
        <v>1</v>
      </c>
      <c r="N41" s="27">
        <v>0</v>
      </c>
      <c r="O41" s="27">
        <v>0</v>
      </c>
    </row>
    <row r="42" ht="35.25" spans="1:15">
      <c r="A42" s="9">
        <v>41</v>
      </c>
      <c r="B42" s="57" t="s">
        <v>141</v>
      </c>
      <c r="C42" s="9">
        <v>1</v>
      </c>
      <c r="D42" s="29" t="s">
        <v>142</v>
      </c>
      <c r="E42" s="29">
        <v>72</v>
      </c>
      <c r="F42" s="9" t="s">
        <v>143</v>
      </c>
      <c r="G42" s="9">
        <f>5.6*4.3*4.1</f>
        <v>98.728</v>
      </c>
      <c r="H42" s="9">
        <f t="shared" si="0"/>
        <v>51.33856</v>
      </c>
      <c r="I42" s="9" t="s">
        <v>144</v>
      </c>
      <c r="J42" s="9">
        <v>5</v>
      </c>
      <c r="K42" s="9">
        <v>1</v>
      </c>
      <c r="L42" s="9">
        <v>1</v>
      </c>
      <c r="M42" s="35">
        <v>1</v>
      </c>
      <c r="N42" s="27">
        <v>0</v>
      </c>
      <c r="O42" s="27">
        <v>0</v>
      </c>
    </row>
    <row r="43" ht="88.15" spans="1:15">
      <c r="A43" s="9">
        <v>42</v>
      </c>
      <c r="B43" s="57" t="s">
        <v>145</v>
      </c>
      <c r="C43" s="9">
        <v>0</v>
      </c>
      <c r="D43" s="29" t="s">
        <v>146</v>
      </c>
      <c r="E43" s="29">
        <v>66</v>
      </c>
      <c r="F43" s="9" t="s">
        <v>147</v>
      </c>
      <c r="G43" s="9">
        <f>5.3*4.6*4.2</f>
        <v>102.396</v>
      </c>
      <c r="H43" s="9">
        <f t="shared" si="0"/>
        <v>53.24592</v>
      </c>
      <c r="I43" s="9" t="s">
        <v>20</v>
      </c>
      <c r="J43" s="9" t="s">
        <v>21</v>
      </c>
      <c r="K43" s="36">
        <v>5</v>
      </c>
      <c r="L43" s="36">
        <v>1</v>
      </c>
      <c r="M43" s="37">
        <v>1</v>
      </c>
      <c r="N43" s="27">
        <v>1</v>
      </c>
      <c r="O43" s="27">
        <v>1</v>
      </c>
    </row>
    <row r="44" ht="88.15" spans="1:15">
      <c r="A44" s="9">
        <v>43</v>
      </c>
      <c r="B44" s="56" t="s">
        <v>148</v>
      </c>
      <c r="C44" s="9">
        <v>0</v>
      </c>
      <c r="D44" s="9" t="s">
        <v>149</v>
      </c>
      <c r="E44" s="9">
        <v>77</v>
      </c>
      <c r="F44" s="9" t="s">
        <v>150</v>
      </c>
      <c r="G44" s="9">
        <f>5.8*4.2*4.7</f>
        <v>114.492</v>
      </c>
      <c r="H44" s="9">
        <f t="shared" si="0"/>
        <v>59.53584</v>
      </c>
      <c r="I44" s="9" t="s">
        <v>20</v>
      </c>
      <c r="J44" s="9" t="s">
        <v>21</v>
      </c>
      <c r="K44" s="9">
        <v>10</v>
      </c>
      <c r="L44" s="9">
        <v>1</v>
      </c>
      <c r="M44" s="35">
        <v>1</v>
      </c>
      <c r="N44" s="27">
        <v>0</v>
      </c>
      <c r="O44" s="27">
        <v>0</v>
      </c>
    </row>
    <row r="45" ht="88.15" spans="1:15">
      <c r="A45" s="9">
        <v>44</v>
      </c>
      <c r="B45" s="57" t="s">
        <v>151</v>
      </c>
      <c r="C45" s="9">
        <v>1</v>
      </c>
      <c r="D45" s="29" t="s">
        <v>152</v>
      </c>
      <c r="E45" s="29">
        <v>61</v>
      </c>
      <c r="F45" s="9" t="s">
        <v>153</v>
      </c>
      <c r="G45" s="9">
        <f>5.2*4.4*3.7</f>
        <v>84.656</v>
      </c>
      <c r="H45" s="9">
        <f t="shared" si="0"/>
        <v>44.02112</v>
      </c>
      <c r="I45" s="9" t="s">
        <v>144</v>
      </c>
      <c r="J45" s="9" t="s">
        <v>27</v>
      </c>
      <c r="K45" s="36">
        <v>2</v>
      </c>
      <c r="L45" s="36">
        <v>1</v>
      </c>
      <c r="M45" s="37">
        <v>1</v>
      </c>
      <c r="N45" s="27">
        <v>0</v>
      </c>
      <c r="O45" s="27">
        <v>1</v>
      </c>
    </row>
    <row r="46" ht="105.75" spans="1:15">
      <c r="A46" s="9">
        <v>45</v>
      </c>
      <c r="B46" s="57" t="s">
        <v>154</v>
      </c>
      <c r="C46" s="9">
        <v>0</v>
      </c>
      <c r="D46" s="29" t="s">
        <v>155</v>
      </c>
      <c r="E46" s="29">
        <v>78</v>
      </c>
      <c r="F46" s="9" t="s">
        <v>156</v>
      </c>
      <c r="G46" s="9">
        <f>5.2*4.8*4.7</f>
        <v>117.312</v>
      </c>
      <c r="H46" s="9">
        <f t="shared" si="0"/>
        <v>61.00224</v>
      </c>
      <c r="I46" s="9" t="s">
        <v>20</v>
      </c>
      <c r="J46" s="9" t="s">
        <v>21</v>
      </c>
      <c r="K46" s="36">
        <v>1</v>
      </c>
      <c r="L46" s="36">
        <v>1</v>
      </c>
      <c r="M46" s="37">
        <v>1</v>
      </c>
      <c r="N46" s="27">
        <v>0</v>
      </c>
      <c r="O46" s="27">
        <v>0</v>
      </c>
    </row>
    <row r="47" ht="35.25" spans="1:15">
      <c r="A47" s="9">
        <v>46</v>
      </c>
      <c r="B47" s="58" t="s">
        <v>157</v>
      </c>
      <c r="C47" s="9">
        <v>1</v>
      </c>
      <c r="D47" s="8" t="s">
        <v>158</v>
      </c>
      <c r="E47" s="8">
        <v>82</v>
      </c>
      <c r="F47" s="9" t="s">
        <v>159</v>
      </c>
      <c r="G47" s="9">
        <f>4.9*2.5*2.8</f>
        <v>34.3</v>
      </c>
      <c r="H47" s="9">
        <f t="shared" si="0"/>
        <v>17.836</v>
      </c>
      <c r="I47" s="9" t="s">
        <v>16</v>
      </c>
      <c r="J47" s="9">
        <v>3</v>
      </c>
      <c r="K47" s="9">
        <v>5</v>
      </c>
      <c r="L47" s="9">
        <v>1</v>
      </c>
      <c r="M47" s="35">
        <v>1</v>
      </c>
      <c r="N47" s="27">
        <v>0</v>
      </c>
      <c r="O47" s="27">
        <v>0</v>
      </c>
    </row>
    <row r="48" ht="35.25" spans="1:15">
      <c r="A48" s="9">
        <v>47</v>
      </c>
      <c r="B48" s="57" t="s">
        <v>160</v>
      </c>
      <c r="C48" s="9">
        <v>0</v>
      </c>
      <c r="D48" s="8" t="s">
        <v>161</v>
      </c>
      <c r="E48" s="29">
        <v>82</v>
      </c>
      <c r="F48" s="9" t="s">
        <v>162</v>
      </c>
      <c r="G48" s="9">
        <f>5.8*4.9*5</f>
        <v>142.1</v>
      </c>
      <c r="H48" s="9">
        <f t="shared" si="0"/>
        <v>73.892</v>
      </c>
      <c r="I48" s="9" t="s">
        <v>20</v>
      </c>
      <c r="J48" s="9">
        <v>2</v>
      </c>
      <c r="K48" s="9">
        <v>1</v>
      </c>
      <c r="L48" s="9">
        <v>1</v>
      </c>
      <c r="M48" s="35">
        <v>1</v>
      </c>
      <c r="N48" s="27">
        <v>0</v>
      </c>
      <c r="O48" s="27">
        <v>0</v>
      </c>
    </row>
    <row r="49" ht="70.5" spans="1:15">
      <c r="A49" s="9">
        <v>48</v>
      </c>
      <c r="B49" s="57" t="s">
        <v>163</v>
      </c>
      <c r="C49" s="9">
        <v>1</v>
      </c>
      <c r="D49" s="29" t="s">
        <v>164</v>
      </c>
      <c r="E49" s="29">
        <v>73</v>
      </c>
      <c r="F49" s="9" t="s">
        <v>165</v>
      </c>
      <c r="G49" s="9">
        <f>5.1*3.3*2.8</f>
        <v>47.124</v>
      </c>
      <c r="H49" s="9">
        <f t="shared" si="0"/>
        <v>24.50448</v>
      </c>
      <c r="I49" s="9" t="s">
        <v>85</v>
      </c>
      <c r="J49" s="9" t="s">
        <v>39</v>
      </c>
      <c r="K49" s="9">
        <v>5</v>
      </c>
      <c r="L49" s="9">
        <v>1</v>
      </c>
      <c r="M49" s="35">
        <v>1</v>
      </c>
      <c r="N49" s="27">
        <v>0</v>
      </c>
      <c r="O49" s="27">
        <v>0</v>
      </c>
    </row>
    <row r="50" ht="70.5" spans="1:15">
      <c r="A50" s="9">
        <v>49</v>
      </c>
      <c r="B50" s="57" t="s">
        <v>166</v>
      </c>
      <c r="C50" s="9">
        <v>1</v>
      </c>
      <c r="D50" s="29" t="s">
        <v>167</v>
      </c>
      <c r="E50" s="29">
        <v>83</v>
      </c>
      <c r="F50" s="9" t="s">
        <v>168</v>
      </c>
      <c r="G50" s="9">
        <f>5.7*5*4.4</f>
        <v>125.4</v>
      </c>
      <c r="H50" s="9">
        <f t="shared" si="0"/>
        <v>65.208</v>
      </c>
      <c r="I50" s="9" t="s">
        <v>30</v>
      </c>
      <c r="J50" s="9" t="s">
        <v>31</v>
      </c>
      <c r="K50" s="36">
        <v>2</v>
      </c>
      <c r="L50" s="36">
        <v>1</v>
      </c>
      <c r="M50" s="37">
        <v>1</v>
      </c>
      <c r="N50" s="27">
        <v>0</v>
      </c>
      <c r="O50" s="27">
        <v>0</v>
      </c>
    </row>
    <row r="51" ht="123.4" spans="1:15">
      <c r="A51" s="9">
        <v>50</v>
      </c>
      <c r="B51" s="56" t="s">
        <v>169</v>
      </c>
      <c r="C51" s="9">
        <v>1</v>
      </c>
      <c r="D51" s="9" t="s">
        <v>170</v>
      </c>
      <c r="E51" s="9">
        <v>58</v>
      </c>
      <c r="F51" s="9" t="s">
        <v>171</v>
      </c>
      <c r="G51" s="9">
        <f>4.2*3*3.5</f>
        <v>44.1</v>
      </c>
      <c r="H51" s="9">
        <f t="shared" si="0"/>
        <v>22.932</v>
      </c>
      <c r="I51" s="9" t="s">
        <v>30</v>
      </c>
      <c r="J51" s="9" t="s">
        <v>31</v>
      </c>
      <c r="K51" s="9">
        <v>5</v>
      </c>
      <c r="L51" s="9">
        <v>1</v>
      </c>
      <c r="M51" s="35">
        <v>1</v>
      </c>
      <c r="N51" s="27">
        <v>0</v>
      </c>
      <c r="O51" s="27">
        <v>0</v>
      </c>
    </row>
    <row r="52" ht="70.5" spans="1:15">
      <c r="A52" s="9">
        <v>51</v>
      </c>
      <c r="B52" s="57" t="s">
        <v>172</v>
      </c>
      <c r="C52" s="9">
        <v>1</v>
      </c>
      <c r="D52" s="29" t="s">
        <v>173</v>
      </c>
      <c r="E52" s="29">
        <v>65</v>
      </c>
      <c r="F52" s="9" t="s">
        <v>174</v>
      </c>
      <c r="G52" s="9">
        <f>5.5*4.1*3.9</f>
        <v>87.945</v>
      </c>
      <c r="H52" s="9">
        <f t="shared" si="0"/>
        <v>45.7314</v>
      </c>
      <c r="I52" s="9" t="s">
        <v>26</v>
      </c>
      <c r="J52" s="9" t="s">
        <v>27</v>
      </c>
      <c r="K52" s="9">
        <v>15</v>
      </c>
      <c r="L52" s="9">
        <v>1</v>
      </c>
      <c r="M52" s="35">
        <v>1</v>
      </c>
      <c r="N52" s="27">
        <v>0</v>
      </c>
      <c r="O52" s="27">
        <v>1</v>
      </c>
    </row>
    <row r="53" ht="141" spans="1:15">
      <c r="A53" s="9">
        <v>52</v>
      </c>
      <c r="B53" s="57" t="s">
        <v>175</v>
      </c>
      <c r="C53" s="9">
        <v>1</v>
      </c>
      <c r="D53" s="29" t="s">
        <v>176</v>
      </c>
      <c r="E53" s="29">
        <v>75</v>
      </c>
      <c r="F53" s="9" t="s">
        <v>177</v>
      </c>
      <c r="G53" s="9">
        <f>4.5*3.8*4</f>
        <v>68.4</v>
      </c>
      <c r="H53" s="9">
        <f t="shared" si="0"/>
        <v>35.568</v>
      </c>
      <c r="I53" s="9" t="s">
        <v>16</v>
      </c>
      <c r="J53" s="9" t="s">
        <v>17</v>
      </c>
      <c r="K53" s="9">
        <v>10</v>
      </c>
      <c r="L53" s="9">
        <v>1</v>
      </c>
      <c r="M53" s="35">
        <v>1</v>
      </c>
      <c r="N53" s="27">
        <v>0</v>
      </c>
      <c r="O53" s="27">
        <v>0</v>
      </c>
    </row>
    <row r="54" ht="70.5" spans="1:15">
      <c r="A54" s="9">
        <v>53</v>
      </c>
      <c r="B54" s="9" t="s">
        <v>178</v>
      </c>
      <c r="C54" s="9">
        <v>1</v>
      </c>
      <c r="D54" s="9" t="s">
        <v>179</v>
      </c>
      <c r="E54" s="9">
        <v>79</v>
      </c>
      <c r="F54" s="9" t="s">
        <v>180</v>
      </c>
      <c r="G54" s="9">
        <f>4.5*3.4*3.6</f>
        <v>55.08</v>
      </c>
      <c r="H54" s="9">
        <f t="shared" si="0"/>
        <v>28.6416</v>
      </c>
      <c r="I54" s="9" t="s">
        <v>30</v>
      </c>
      <c r="J54" s="9" t="s">
        <v>31</v>
      </c>
      <c r="K54" s="9">
        <v>5</v>
      </c>
      <c r="L54" s="9">
        <v>1</v>
      </c>
      <c r="M54" s="35">
        <v>1</v>
      </c>
      <c r="N54" s="27">
        <v>0</v>
      </c>
      <c r="O54" s="27">
        <v>0</v>
      </c>
    </row>
    <row r="55" ht="70.5" spans="1:15">
      <c r="A55" s="9">
        <v>54</v>
      </c>
      <c r="B55" s="57" t="s">
        <v>181</v>
      </c>
      <c r="C55" s="9">
        <v>1</v>
      </c>
      <c r="D55" s="8" t="s">
        <v>182</v>
      </c>
      <c r="E55" s="29">
        <v>67</v>
      </c>
      <c r="F55" s="9" t="s">
        <v>183</v>
      </c>
      <c r="G55" s="9">
        <f>5.6*4.4*4.8</f>
        <v>118.272</v>
      </c>
      <c r="H55" s="9">
        <f t="shared" si="0"/>
        <v>61.50144</v>
      </c>
      <c r="I55" s="9" t="s">
        <v>16</v>
      </c>
      <c r="J55" s="9">
        <v>2</v>
      </c>
      <c r="K55" s="9">
        <v>2</v>
      </c>
      <c r="L55" s="9">
        <v>1</v>
      </c>
      <c r="M55" s="35">
        <v>1</v>
      </c>
      <c r="N55" s="27">
        <v>0</v>
      </c>
      <c r="O55" s="27">
        <v>1</v>
      </c>
    </row>
    <row r="56" ht="70.5" spans="1:15">
      <c r="A56" s="9">
        <v>55</v>
      </c>
      <c r="B56" s="57" t="s">
        <v>184</v>
      </c>
      <c r="C56" s="9">
        <v>1</v>
      </c>
      <c r="D56" s="29" t="s">
        <v>185</v>
      </c>
      <c r="E56" s="29">
        <v>73</v>
      </c>
      <c r="F56" s="9" t="s">
        <v>186</v>
      </c>
      <c r="G56" s="9">
        <f>4.2*2.9*3.4</f>
        <v>41.412</v>
      </c>
      <c r="H56" s="9">
        <f t="shared" si="0"/>
        <v>21.53424</v>
      </c>
      <c r="I56" s="9" t="s">
        <v>26</v>
      </c>
      <c r="J56" s="9" t="s">
        <v>27</v>
      </c>
      <c r="K56" s="9">
        <v>30</v>
      </c>
      <c r="L56" s="9">
        <v>1</v>
      </c>
      <c r="M56" s="35">
        <v>1</v>
      </c>
      <c r="N56" s="27">
        <v>0</v>
      </c>
      <c r="O56" s="27">
        <v>1</v>
      </c>
    </row>
    <row r="57" ht="70.5" spans="1:15">
      <c r="A57" s="9">
        <v>56</v>
      </c>
      <c r="B57" s="57" t="s">
        <v>187</v>
      </c>
      <c r="C57" s="9">
        <v>1</v>
      </c>
      <c r="D57" s="29" t="s">
        <v>188</v>
      </c>
      <c r="E57" s="29">
        <v>73</v>
      </c>
      <c r="F57" s="9" t="s">
        <v>189</v>
      </c>
      <c r="G57" s="9">
        <f>4.6*3*3.1</f>
        <v>42.78</v>
      </c>
      <c r="H57" s="9">
        <f t="shared" si="0"/>
        <v>22.2456</v>
      </c>
      <c r="I57" s="9" t="s">
        <v>16</v>
      </c>
      <c r="J57" s="9" t="s">
        <v>17</v>
      </c>
      <c r="K57" s="36">
        <v>5</v>
      </c>
      <c r="L57" s="36">
        <v>1</v>
      </c>
      <c r="M57" s="37">
        <v>1</v>
      </c>
      <c r="N57" s="27">
        <v>0</v>
      </c>
      <c r="O57" s="27">
        <v>1</v>
      </c>
    </row>
    <row r="58" ht="123.4" spans="1:15">
      <c r="A58" s="9">
        <v>57</v>
      </c>
      <c r="B58" s="9" t="s">
        <v>190</v>
      </c>
      <c r="C58" s="9">
        <v>1</v>
      </c>
      <c r="D58" s="9" t="s">
        <v>191</v>
      </c>
      <c r="E58" s="9">
        <v>65</v>
      </c>
      <c r="F58" s="9" t="s">
        <v>192</v>
      </c>
      <c r="G58" s="9">
        <f>5.2*3.4*3.9</f>
        <v>68.952</v>
      </c>
      <c r="H58" s="9">
        <f t="shared" si="0"/>
        <v>35.85504</v>
      </c>
      <c r="I58" s="9" t="s">
        <v>26</v>
      </c>
      <c r="J58" s="9" t="s">
        <v>27</v>
      </c>
      <c r="K58" s="9">
        <v>5</v>
      </c>
      <c r="L58" s="9">
        <v>1</v>
      </c>
      <c r="M58" s="35">
        <v>1</v>
      </c>
      <c r="N58" s="27">
        <v>0</v>
      </c>
      <c r="O58" s="27">
        <v>0</v>
      </c>
    </row>
    <row r="59" ht="88.15" spans="1:15">
      <c r="A59" s="9">
        <v>58</v>
      </c>
      <c r="B59" s="9" t="s">
        <v>193</v>
      </c>
      <c r="C59" s="9">
        <v>0</v>
      </c>
      <c r="D59" s="9" t="s">
        <v>194</v>
      </c>
      <c r="E59" s="9">
        <v>79</v>
      </c>
      <c r="F59" s="9" t="s">
        <v>195</v>
      </c>
      <c r="G59" s="9">
        <f>6*4*5.1</f>
        <v>122.4</v>
      </c>
      <c r="H59" s="9">
        <f t="shared" si="0"/>
        <v>63.648</v>
      </c>
      <c r="I59" s="9" t="s">
        <v>20</v>
      </c>
      <c r="J59" s="9" t="s">
        <v>21</v>
      </c>
      <c r="K59" s="9">
        <v>5</v>
      </c>
      <c r="L59" s="9">
        <v>1</v>
      </c>
      <c r="M59" s="35">
        <v>1</v>
      </c>
      <c r="N59" s="27">
        <v>0</v>
      </c>
      <c r="O59" s="27">
        <v>0</v>
      </c>
    </row>
    <row r="60" ht="35.25" spans="1:15">
      <c r="A60" s="9">
        <v>59</v>
      </c>
      <c r="B60" s="57" t="s">
        <v>196</v>
      </c>
      <c r="C60" s="9">
        <v>1</v>
      </c>
      <c r="D60" s="8" t="s">
        <v>197</v>
      </c>
      <c r="E60" s="29">
        <v>64</v>
      </c>
      <c r="F60" s="9" t="s">
        <v>198</v>
      </c>
      <c r="G60" s="9">
        <f>4.3*3.3*3.5</f>
        <v>49.665</v>
      </c>
      <c r="H60" s="9">
        <f t="shared" si="0"/>
        <v>25.8258</v>
      </c>
      <c r="I60" s="9" t="s">
        <v>30</v>
      </c>
      <c r="J60" s="9">
        <v>4</v>
      </c>
      <c r="K60" s="9">
        <v>15</v>
      </c>
      <c r="L60" s="9">
        <v>1</v>
      </c>
      <c r="M60" s="35">
        <v>1</v>
      </c>
      <c r="N60" s="27">
        <v>0</v>
      </c>
      <c r="O60" s="27">
        <v>0</v>
      </c>
    </row>
    <row r="61" ht="52.9" spans="1:15">
      <c r="A61" s="9">
        <v>60</v>
      </c>
      <c r="B61" s="58" t="s">
        <v>199</v>
      </c>
      <c r="C61" s="30" t="s">
        <v>21</v>
      </c>
      <c r="D61" s="8" t="s">
        <v>200</v>
      </c>
      <c r="E61" s="8">
        <v>59</v>
      </c>
      <c r="F61" s="8" t="s">
        <v>201</v>
      </c>
      <c r="G61" s="8">
        <f>5.8*3.9*4.2</f>
        <v>95.004</v>
      </c>
      <c r="H61" s="9">
        <f t="shared" si="0"/>
        <v>49.40208</v>
      </c>
      <c r="I61" s="8" t="s">
        <v>30</v>
      </c>
      <c r="J61" s="30" t="s">
        <v>17</v>
      </c>
      <c r="K61" s="8">
        <v>3</v>
      </c>
      <c r="L61" s="8">
        <v>1</v>
      </c>
      <c r="M61" s="38">
        <v>1</v>
      </c>
      <c r="N61" s="27">
        <v>0</v>
      </c>
      <c r="O61" s="27">
        <v>0</v>
      </c>
    </row>
    <row r="62" ht="105.75" spans="1:15">
      <c r="A62" s="9">
        <v>61</v>
      </c>
      <c r="B62" s="57" t="s">
        <v>202</v>
      </c>
      <c r="C62" s="9">
        <v>1</v>
      </c>
      <c r="D62" s="29" t="s">
        <v>203</v>
      </c>
      <c r="E62" s="29">
        <v>66</v>
      </c>
      <c r="F62" s="9" t="s">
        <v>204</v>
      </c>
      <c r="G62" s="9">
        <f>5.7*5.8*4.4</f>
        <v>145.464</v>
      </c>
      <c r="H62" s="9">
        <f t="shared" si="0"/>
        <v>75.64128</v>
      </c>
      <c r="I62" s="9" t="s">
        <v>205</v>
      </c>
      <c r="J62" s="9" t="s">
        <v>27</v>
      </c>
      <c r="K62" s="9">
        <v>20</v>
      </c>
      <c r="L62" s="9">
        <v>1</v>
      </c>
      <c r="M62" s="35">
        <v>1</v>
      </c>
      <c r="N62" s="27">
        <v>0</v>
      </c>
      <c r="O62" s="27">
        <v>0</v>
      </c>
    </row>
    <row r="63" ht="105.75" spans="1:15">
      <c r="A63" s="9">
        <v>62</v>
      </c>
      <c r="B63" s="57" t="s">
        <v>206</v>
      </c>
      <c r="C63" s="9">
        <v>1</v>
      </c>
      <c r="D63" s="29" t="s">
        <v>207</v>
      </c>
      <c r="E63" s="29">
        <v>84</v>
      </c>
      <c r="F63" s="9" t="s">
        <v>208</v>
      </c>
      <c r="G63" s="9">
        <f>5.7*6.2*4.1</f>
        <v>144.894</v>
      </c>
      <c r="H63" s="9">
        <f t="shared" si="0"/>
        <v>75.34488</v>
      </c>
      <c r="I63" s="9" t="s">
        <v>16</v>
      </c>
      <c r="J63" s="9" t="s">
        <v>17</v>
      </c>
      <c r="K63" s="9">
        <v>8</v>
      </c>
      <c r="L63" s="9">
        <v>1</v>
      </c>
      <c r="M63" s="35">
        <v>1</v>
      </c>
      <c r="N63" s="27">
        <v>0</v>
      </c>
      <c r="O63" s="27">
        <v>0</v>
      </c>
    </row>
    <row r="64" ht="70.5" spans="1:15">
      <c r="A64" s="9">
        <v>63</v>
      </c>
      <c r="B64" s="57" t="s">
        <v>209</v>
      </c>
      <c r="C64" s="9">
        <v>1</v>
      </c>
      <c r="D64" s="29" t="s">
        <v>210</v>
      </c>
      <c r="E64" s="29">
        <v>73</v>
      </c>
      <c r="F64" s="9" t="s">
        <v>211</v>
      </c>
      <c r="G64" s="9">
        <f>4.5*4.4*5.6</f>
        <v>110.88</v>
      </c>
      <c r="H64" s="9">
        <f t="shared" si="0"/>
        <v>57.6576</v>
      </c>
      <c r="I64" s="9" t="s">
        <v>38</v>
      </c>
      <c r="J64" s="9" t="s">
        <v>39</v>
      </c>
      <c r="K64" s="9">
        <v>20</v>
      </c>
      <c r="L64" s="9">
        <v>1</v>
      </c>
      <c r="M64" s="35">
        <v>1</v>
      </c>
      <c r="N64" s="27">
        <v>0</v>
      </c>
      <c r="O64" s="27">
        <v>1</v>
      </c>
    </row>
    <row r="65" ht="35.25" spans="1:15">
      <c r="A65" s="9">
        <v>64</v>
      </c>
      <c r="B65" s="9" t="s">
        <v>212</v>
      </c>
      <c r="C65" s="9">
        <v>0</v>
      </c>
      <c r="D65" s="9" t="s">
        <v>213</v>
      </c>
      <c r="E65" s="9">
        <v>77</v>
      </c>
      <c r="F65" s="9" t="s">
        <v>214</v>
      </c>
      <c r="G65" s="9">
        <f>4.2*3.1*3.9</f>
        <v>50.778</v>
      </c>
      <c r="H65" s="9">
        <f t="shared" si="0"/>
        <v>26.40456</v>
      </c>
      <c r="I65" s="9" t="s">
        <v>20</v>
      </c>
      <c r="J65" s="9">
        <v>1</v>
      </c>
      <c r="K65" s="9">
        <v>15</v>
      </c>
      <c r="L65" s="9">
        <v>1</v>
      </c>
      <c r="M65" s="35">
        <v>1</v>
      </c>
      <c r="N65" s="27">
        <v>0</v>
      </c>
      <c r="O65" s="27">
        <v>0</v>
      </c>
    </row>
    <row r="66" ht="35.25" spans="1:15">
      <c r="A66" s="9">
        <v>65</v>
      </c>
      <c r="B66" s="57" t="s">
        <v>215</v>
      </c>
      <c r="C66" s="9">
        <v>1</v>
      </c>
      <c r="D66" s="29" t="s">
        <v>216</v>
      </c>
      <c r="E66" s="29">
        <v>83</v>
      </c>
      <c r="F66" s="9" t="s">
        <v>217</v>
      </c>
      <c r="G66" s="9">
        <f>4.9*3.3*5.1</f>
        <v>82.467</v>
      </c>
      <c r="H66" s="9">
        <f t="shared" si="0"/>
        <v>42.88284</v>
      </c>
      <c r="I66" s="9" t="s">
        <v>85</v>
      </c>
      <c r="J66" s="9" t="s">
        <v>39</v>
      </c>
      <c r="K66" s="9">
        <v>20</v>
      </c>
      <c r="L66" s="9">
        <v>1</v>
      </c>
      <c r="M66" s="35">
        <v>1</v>
      </c>
      <c r="N66" s="27">
        <v>0</v>
      </c>
      <c r="O66" s="27">
        <v>0</v>
      </c>
    </row>
    <row r="67" ht="52.9" spans="1:15">
      <c r="A67" s="9">
        <v>66</v>
      </c>
      <c r="B67" s="56" t="s">
        <v>218</v>
      </c>
      <c r="C67" s="9">
        <v>1</v>
      </c>
      <c r="D67" s="9" t="s">
        <v>219</v>
      </c>
      <c r="E67" s="9">
        <v>84</v>
      </c>
      <c r="F67" s="9" t="s">
        <v>220</v>
      </c>
      <c r="G67" s="9">
        <f>4.5*3.1*3.5</f>
        <v>48.825</v>
      </c>
      <c r="H67" s="9">
        <f t="shared" ref="H67:H130" si="1">G67*0.52</f>
        <v>25.389</v>
      </c>
      <c r="I67" s="9" t="s">
        <v>30</v>
      </c>
      <c r="J67" s="9" t="s">
        <v>31</v>
      </c>
      <c r="K67" s="9">
        <v>5</v>
      </c>
      <c r="L67" s="9">
        <v>1</v>
      </c>
      <c r="M67" s="35">
        <v>1</v>
      </c>
      <c r="N67" s="27">
        <v>0</v>
      </c>
      <c r="O67" s="27">
        <v>1</v>
      </c>
    </row>
    <row r="68" ht="35.25" spans="1:15">
      <c r="A68" s="9">
        <v>67</v>
      </c>
      <c r="B68" s="57" t="s">
        <v>221</v>
      </c>
      <c r="C68" s="9">
        <v>1</v>
      </c>
      <c r="D68" s="29" t="s">
        <v>222</v>
      </c>
      <c r="E68" s="29">
        <v>76</v>
      </c>
      <c r="F68" s="9" t="s">
        <v>223</v>
      </c>
      <c r="G68" s="9">
        <f>5*4.9*5.1</f>
        <v>124.95</v>
      </c>
      <c r="H68" s="9">
        <f t="shared" si="1"/>
        <v>64.974</v>
      </c>
      <c r="I68" s="9" t="s">
        <v>38</v>
      </c>
      <c r="J68" s="9" t="s">
        <v>39</v>
      </c>
      <c r="K68" s="36">
        <v>5</v>
      </c>
      <c r="L68" s="36">
        <v>1</v>
      </c>
      <c r="M68" s="37">
        <v>1</v>
      </c>
      <c r="N68" s="27">
        <v>0</v>
      </c>
      <c r="O68" s="27">
        <v>0</v>
      </c>
    </row>
    <row r="69" ht="35.25" spans="1:15">
      <c r="A69" s="9">
        <v>68</v>
      </c>
      <c r="B69" s="58" t="s">
        <v>224</v>
      </c>
      <c r="C69" s="9">
        <v>1</v>
      </c>
      <c r="D69" s="8" t="s">
        <v>225</v>
      </c>
      <c r="E69" s="29">
        <v>84</v>
      </c>
      <c r="F69" s="9" t="s">
        <v>226</v>
      </c>
      <c r="G69" s="9">
        <f>5.6*5.2*5.9</f>
        <v>171.808</v>
      </c>
      <c r="H69" s="9">
        <f t="shared" si="1"/>
        <v>89.34016</v>
      </c>
      <c r="I69" s="9" t="s">
        <v>30</v>
      </c>
      <c r="J69" s="9">
        <v>2</v>
      </c>
      <c r="K69" s="9">
        <v>5</v>
      </c>
      <c r="L69" s="9">
        <v>1</v>
      </c>
      <c r="M69" s="35">
        <v>1</v>
      </c>
      <c r="N69" s="27">
        <v>0</v>
      </c>
      <c r="O69" s="27">
        <v>1</v>
      </c>
    </row>
    <row r="70" ht="105.75" spans="1:15">
      <c r="A70" s="9">
        <v>69</v>
      </c>
      <c r="B70" s="9" t="s">
        <v>227</v>
      </c>
      <c r="C70" s="9">
        <v>1</v>
      </c>
      <c r="D70" s="9" t="s">
        <v>228</v>
      </c>
      <c r="E70" s="9">
        <v>84</v>
      </c>
      <c r="F70" s="9" t="s">
        <v>229</v>
      </c>
      <c r="G70" s="9">
        <f>5.3*3.1*2.7</f>
        <v>44.361</v>
      </c>
      <c r="H70" s="9">
        <f t="shared" si="1"/>
        <v>23.06772</v>
      </c>
      <c r="I70" s="9" t="s">
        <v>30</v>
      </c>
      <c r="J70" s="9" t="s">
        <v>31</v>
      </c>
      <c r="K70" s="9">
        <v>5</v>
      </c>
      <c r="L70" s="9">
        <v>1</v>
      </c>
      <c r="M70" s="35">
        <v>1</v>
      </c>
      <c r="N70" s="27">
        <v>0</v>
      </c>
      <c r="O70" s="27">
        <v>0</v>
      </c>
    </row>
    <row r="71" ht="35.25" spans="1:15">
      <c r="A71" s="9">
        <v>70</v>
      </c>
      <c r="B71" s="57" t="s">
        <v>230</v>
      </c>
      <c r="C71" s="9">
        <v>1</v>
      </c>
      <c r="D71" s="29" t="s">
        <v>231</v>
      </c>
      <c r="E71" s="29">
        <v>61</v>
      </c>
      <c r="F71" s="9" t="s">
        <v>232</v>
      </c>
      <c r="G71" s="9">
        <f>3.7*3*3.8</f>
        <v>42.18</v>
      </c>
      <c r="H71" s="9">
        <f t="shared" si="1"/>
        <v>21.9336</v>
      </c>
      <c r="I71" s="9" t="s">
        <v>85</v>
      </c>
      <c r="J71" s="9">
        <v>5</v>
      </c>
      <c r="K71" s="9">
        <v>20</v>
      </c>
      <c r="L71" s="9">
        <v>0</v>
      </c>
      <c r="M71" s="35">
        <v>1</v>
      </c>
      <c r="N71" s="27">
        <v>0</v>
      </c>
      <c r="O71" s="27">
        <v>1</v>
      </c>
    </row>
    <row r="72" ht="70.5" spans="1:15">
      <c r="A72" s="9">
        <v>71</v>
      </c>
      <c r="B72" s="57" t="s">
        <v>233</v>
      </c>
      <c r="C72" s="9">
        <v>1</v>
      </c>
      <c r="D72" s="29" t="s">
        <v>234</v>
      </c>
      <c r="E72" s="29">
        <v>79</v>
      </c>
      <c r="F72" s="9" t="s">
        <v>235</v>
      </c>
      <c r="G72" s="9">
        <f>5.6*4.4*6</f>
        <v>147.84</v>
      </c>
      <c r="H72" s="9">
        <f t="shared" si="1"/>
        <v>76.8768</v>
      </c>
      <c r="I72" s="9" t="s">
        <v>26</v>
      </c>
      <c r="J72" s="9" t="s">
        <v>27</v>
      </c>
      <c r="K72" s="36">
        <v>20</v>
      </c>
      <c r="L72" s="36">
        <v>1</v>
      </c>
      <c r="M72" s="37">
        <v>1</v>
      </c>
      <c r="N72" s="27">
        <v>0</v>
      </c>
      <c r="O72" s="27">
        <v>1</v>
      </c>
    </row>
    <row r="73" ht="141" spans="1:15">
      <c r="A73" s="9">
        <v>72</v>
      </c>
      <c r="B73" s="57" t="s">
        <v>236</v>
      </c>
      <c r="C73" s="9">
        <v>1</v>
      </c>
      <c r="D73" s="29" t="s">
        <v>237</v>
      </c>
      <c r="E73" s="29">
        <v>76</v>
      </c>
      <c r="F73" s="9" t="s">
        <v>238</v>
      </c>
      <c r="G73" s="9">
        <f>4.6*4.7*4.1</f>
        <v>88.642</v>
      </c>
      <c r="H73" s="9">
        <f t="shared" si="1"/>
        <v>46.09384</v>
      </c>
      <c r="I73" s="9" t="s">
        <v>38</v>
      </c>
      <c r="J73" s="9" t="s">
        <v>39</v>
      </c>
      <c r="K73" s="36">
        <v>2</v>
      </c>
      <c r="L73" s="36">
        <v>1</v>
      </c>
      <c r="M73" s="37">
        <v>1</v>
      </c>
      <c r="N73" s="27">
        <v>1</v>
      </c>
      <c r="O73" s="27">
        <v>1</v>
      </c>
    </row>
    <row r="74" s="20" customFormat="1" ht="35.25" spans="1:15">
      <c r="A74" s="39">
        <v>73</v>
      </c>
      <c r="B74" s="59" t="s">
        <v>239</v>
      </c>
      <c r="C74" s="39">
        <v>0</v>
      </c>
      <c r="D74" s="39" t="s">
        <v>240</v>
      </c>
      <c r="E74" s="39">
        <v>68</v>
      </c>
      <c r="F74" s="39"/>
      <c r="G74" s="39"/>
      <c r="H74" s="39">
        <f t="shared" si="1"/>
        <v>0</v>
      </c>
      <c r="I74" s="39" t="s">
        <v>20</v>
      </c>
      <c r="J74" s="39" t="s">
        <v>21</v>
      </c>
      <c r="K74" s="39">
        <v>15</v>
      </c>
      <c r="L74" s="39">
        <v>1</v>
      </c>
      <c r="M74" s="41">
        <v>1</v>
      </c>
      <c r="N74" s="42">
        <v>0</v>
      </c>
      <c r="O74" s="42">
        <v>0</v>
      </c>
    </row>
    <row r="75" ht="88.15" spans="1:15">
      <c r="A75" s="9">
        <v>74</v>
      </c>
      <c r="B75" s="9" t="s">
        <v>241</v>
      </c>
      <c r="C75" s="9">
        <v>1</v>
      </c>
      <c r="D75" s="9" t="s">
        <v>242</v>
      </c>
      <c r="E75" s="9">
        <v>77</v>
      </c>
      <c r="F75" s="9" t="s">
        <v>243</v>
      </c>
      <c r="G75" s="9">
        <f>4.5*4.7*5.6</f>
        <v>118.44</v>
      </c>
      <c r="H75" s="9">
        <f t="shared" si="1"/>
        <v>61.5888</v>
      </c>
      <c r="I75" s="9" t="s">
        <v>26</v>
      </c>
      <c r="J75" s="9" t="s">
        <v>27</v>
      </c>
      <c r="K75" s="9">
        <v>15</v>
      </c>
      <c r="L75" s="9">
        <v>1</v>
      </c>
      <c r="M75" s="35">
        <v>1</v>
      </c>
      <c r="N75" s="27">
        <v>0</v>
      </c>
      <c r="O75" s="27">
        <v>1</v>
      </c>
    </row>
    <row r="76" ht="52.9" spans="1:15">
      <c r="A76" s="9">
        <v>75</v>
      </c>
      <c r="B76" s="57" t="s">
        <v>244</v>
      </c>
      <c r="C76" s="9">
        <v>1</v>
      </c>
      <c r="D76" s="29" t="s">
        <v>245</v>
      </c>
      <c r="E76" s="29">
        <v>79</v>
      </c>
      <c r="F76" s="9" t="s">
        <v>246</v>
      </c>
      <c r="G76" s="9">
        <f>5.3*3.8*4.4</f>
        <v>88.616</v>
      </c>
      <c r="H76" s="9">
        <f t="shared" si="1"/>
        <v>46.08032</v>
      </c>
      <c r="I76" s="9" t="s">
        <v>16</v>
      </c>
      <c r="J76" s="9" t="s">
        <v>17</v>
      </c>
      <c r="K76" s="9">
        <v>5</v>
      </c>
      <c r="L76" s="9">
        <v>0</v>
      </c>
      <c r="M76" s="35">
        <v>1</v>
      </c>
      <c r="N76" s="27">
        <v>0</v>
      </c>
      <c r="O76" s="27">
        <v>1</v>
      </c>
    </row>
    <row r="77" ht="70.5" spans="1:15">
      <c r="A77" s="9">
        <v>76</v>
      </c>
      <c r="B77" s="56" t="s">
        <v>247</v>
      </c>
      <c r="C77" s="9">
        <v>1</v>
      </c>
      <c r="D77" s="9" t="s">
        <v>248</v>
      </c>
      <c r="E77" s="9">
        <v>81</v>
      </c>
      <c r="F77" s="9" t="s">
        <v>249</v>
      </c>
      <c r="G77" s="9">
        <f>6*4.4*5.1</f>
        <v>134.64</v>
      </c>
      <c r="H77" s="9">
        <f t="shared" si="1"/>
        <v>70.0128</v>
      </c>
      <c r="I77" s="9" t="s">
        <v>16</v>
      </c>
      <c r="J77" s="9" t="s">
        <v>17</v>
      </c>
      <c r="K77" s="9">
        <v>5</v>
      </c>
      <c r="L77" s="9">
        <v>1</v>
      </c>
      <c r="M77" s="35">
        <v>1</v>
      </c>
      <c r="N77" s="27">
        <v>0</v>
      </c>
      <c r="O77" s="27">
        <v>0</v>
      </c>
    </row>
    <row r="78" ht="52.9" spans="1:15">
      <c r="A78" s="9">
        <v>77</v>
      </c>
      <c r="B78" s="56" t="s">
        <v>250</v>
      </c>
      <c r="C78" s="9">
        <v>1</v>
      </c>
      <c r="D78" s="9" t="s">
        <v>251</v>
      </c>
      <c r="E78" s="9">
        <v>81</v>
      </c>
      <c r="F78" s="9" t="s">
        <v>252</v>
      </c>
      <c r="G78" s="9">
        <f>4.1*5.7*6.1</f>
        <v>142.557</v>
      </c>
      <c r="H78" s="9">
        <f t="shared" si="1"/>
        <v>74.12964</v>
      </c>
      <c r="I78" s="9" t="s">
        <v>16</v>
      </c>
      <c r="J78" s="9" t="s">
        <v>17</v>
      </c>
      <c r="K78" s="9">
        <v>10</v>
      </c>
      <c r="L78" s="9">
        <v>1</v>
      </c>
      <c r="M78" s="35">
        <v>1</v>
      </c>
      <c r="N78" s="27">
        <v>0</v>
      </c>
      <c r="O78" s="27">
        <v>0</v>
      </c>
    </row>
    <row r="79" ht="35.25" spans="1:15">
      <c r="A79" s="9">
        <v>78</v>
      </c>
      <c r="B79" s="57" t="s">
        <v>253</v>
      </c>
      <c r="C79" s="9">
        <v>1</v>
      </c>
      <c r="D79" s="29" t="s">
        <v>254</v>
      </c>
      <c r="E79" s="29">
        <v>86</v>
      </c>
      <c r="F79" s="9" t="s">
        <v>255</v>
      </c>
      <c r="G79" s="9">
        <f>4.7*3.9*4.2</f>
        <v>76.986</v>
      </c>
      <c r="H79" s="9">
        <f t="shared" si="1"/>
        <v>40.03272</v>
      </c>
      <c r="I79" s="9" t="s">
        <v>85</v>
      </c>
      <c r="J79" s="9" t="s">
        <v>39</v>
      </c>
      <c r="K79" s="36">
        <v>20</v>
      </c>
      <c r="L79" s="36">
        <v>1</v>
      </c>
      <c r="M79" s="37">
        <v>1</v>
      </c>
      <c r="N79" s="27">
        <v>0</v>
      </c>
      <c r="O79" s="27">
        <v>1</v>
      </c>
    </row>
    <row r="80" ht="105.75" spans="1:15">
      <c r="A80" s="9">
        <v>79</v>
      </c>
      <c r="B80" s="9" t="s">
        <v>256</v>
      </c>
      <c r="C80" s="9">
        <v>1</v>
      </c>
      <c r="D80" s="9" t="s">
        <v>257</v>
      </c>
      <c r="E80" s="9">
        <v>68</v>
      </c>
      <c r="F80" s="9" t="s">
        <v>258</v>
      </c>
      <c r="G80" s="9">
        <f>6.1*4.7*6.3</f>
        <v>180.621</v>
      </c>
      <c r="H80" s="9">
        <f t="shared" si="1"/>
        <v>93.92292</v>
      </c>
      <c r="I80" s="9" t="s">
        <v>30</v>
      </c>
      <c r="J80" s="9" t="s">
        <v>31</v>
      </c>
      <c r="K80" s="9">
        <v>1</v>
      </c>
      <c r="L80" s="9">
        <v>0</v>
      </c>
      <c r="M80" s="35">
        <v>1</v>
      </c>
      <c r="N80" s="27">
        <v>0</v>
      </c>
      <c r="O80" s="27">
        <v>0</v>
      </c>
    </row>
    <row r="81" ht="70.5" spans="1:15">
      <c r="A81" s="9">
        <v>80</v>
      </c>
      <c r="B81" s="56" t="s">
        <v>259</v>
      </c>
      <c r="C81" s="9">
        <v>1</v>
      </c>
      <c r="D81" s="9" t="s">
        <v>260</v>
      </c>
      <c r="E81" s="9">
        <v>76</v>
      </c>
      <c r="F81" s="9" t="s">
        <v>261</v>
      </c>
      <c r="G81" s="9">
        <f>5.5*5.9*4.5</f>
        <v>146.025</v>
      </c>
      <c r="H81" s="9">
        <f t="shared" si="1"/>
        <v>75.933</v>
      </c>
      <c r="I81" s="9" t="s">
        <v>85</v>
      </c>
      <c r="J81" s="9" t="s">
        <v>39</v>
      </c>
      <c r="K81" s="9">
        <v>15</v>
      </c>
      <c r="L81" s="9">
        <v>1</v>
      </c>
      <c r="M81" s="35">
        <v>1</v>
      </c>
      <c r="N81" s="27">
        <v>0</v>
      </c>
      <c r="O81" s="27">
        <v>1</v>
      </c>
    </row>
    <row r="82" ht="70.5" spans="1:15">
      <c r="A82" s="9">
        <v>81</v>
      </c>
      <c r="B82" s="57" t="s">
        <v>262</v>
      </c>
      <c r="C82" s="9">
        <v>1</v>
      </c>
      <c r="D82" s="29" t="s">
        <v>263</v>
      </c>
      <c r="E82" s="29">
        <v>82</v>
      </c>
      <c r="F82" s="9" t="s">
        <v>264</v>
      </c>
      <c r="G82" s="9">
        <f>5.2*4.9*4.4</f>
        <v>112.112</v>
      </c>
      <c r="H82" s="9">
        <f t="shared" si="1"/>
        <v>58.29824</v>
      </c>
      <c r="I82" s="9" t="s">
        <v>16</v>
      </c>
      <c r="J82" s="9" t="s">
        <v>17</v>
      </c>
      <c r="K82" s="36">
        <v>5</v>
      </c>
      <c r="L82" s="36">
        <v>1</v>
      </c>
      <c r="M82" s="37">
        <v>1</v>
      </c>
      <c r="N82" s="27">
        <v>0</v>
      </c>
      <c r="O82" s="27">
        <v>0</v>
      </c>
    </row>
    <row r="83" ht="88.15" spans="1:15">
      <c r="A83" s="9">
        <v>82</v>
      </c>
      <c r="B83" s="57" t="s">
        <v>265</v>
      </c>
      <c r="C83" s="9">
        <v>1</v>
      </c>
      <c r="D83" s="29" t="s">
        <v>266</v>
      </c>
      <c r="E83" s="29">
        <v>70</v>
      </c>
      <c r="F83" s="9" t="s">
        <v>267</v>
      </c>
      <c r="G83" s="9">
        <f>5.5*6.3*5.2</f>
        <v>180.18</v>
      </c>
      <c r="H83" s="9">
        <f t="shared" si="1"/>
        <v>93.6936</v>
      </c>
      <c r="I83" s="9" t="s">
        <v>26</v>
      </c>
      <c r="J83" s="9" t="s">
        <v>27</v>
      </c>
      <c r="K83" s="36">
        <v>15</v>
      </c>
      <c r="L83" s="36">
        <v>1</v>
      </c>
      <c r="M83" s="37">
        <v>1</v>
      </c>
      <c r="N83" s="27">
        <v>0</v>
      </c>
      <c r="O83" s="27">
        <v>1</v>
      </c>
    </row>
    <row r="84" ht="35.25" spans="1:15">
      <c r="A84" s="9">
        <v>83</v>
      </c>
      <c r="B84" s="57" t="s">
        <v>268</v>
      </c>
      <c r="C84" s="9">
        <v>1</v>
      </c>
      <c r="D84" s="29" t="s">
        <v>269</v>
      </c>
      <c r="E84" s="29">
        <v>78</v>
      </c>
      <c r="F84" s="9" t="s">
        <v>270</v>
      </c>
      <c r="G84" s="9">
        <f>4.1*4.5*3.1</f>
        <v>57.195</v>
      </c>
      <c r="H84" s="9">
        <f t="shared" si="1"/>
        <v>29.7414</v>
      </c>
      <c r="I84" s="9" t="s">
        <v>38</v>
      </c>
      <c r="J84" s="9" t="s">
        <v>39</v>
      </c>
      <c r="K84" s="36">
        <v>20</v>
      </c>
      <c r="L84" s="36">
        <v>1</v>
      </c>
      <c r="M84" s="37">
        <v>1</v>
      </c>
      <c r="N84" s="27">
        <v>0</v>
      </c>
      <c r="O84" s="27">
        <v>1</v>
      </c>
    </row>
    <row r="85" ht="70.5" spans="1:15">
      <c r="A85" s="9">
        <v>84</v>
      </c>
      <c r="B85" s="57" t="s">
        <v>271</v>
      </c>
      <c r="C85" s="9">
        <v>1</v>
      </c>
      <c r="D85" s="29" t="s">
        <v>272</v>
      </c>
      <c r="E85" s="29">
        <v>86</v>
      </c>
      <c r="F85" s="9" t="s">
        <v>273</v>
      </c>
      <c r="G85" s="9">
        <f>5.5*5.8*4.5</f>
        <v>143.55</v>
      </c>
      <c r="H85" s="9">
        <f t="shared" si="1"/>
        <v>74.646</v>
      </c>
      <c r="I85" s="9" t="s">
        <v>85</v>
      </c>
      <c r="J85" s="9" t="s">
        <v>39</v>
      </c>
      <c r="K85" s="36">
        <v>5</v>
      </c>
      <c r="L85" s="36">
        <v>1</v>
      </c>
      <c r="M85" s="37">
        <v>1</v>
      </c>
      <c r="N85" s="27">
        <v>0</v>
      </c>
      <c r="O85" s="27">
        <v>1</v>
      </c>
    </row>
    <row r="86" s="20" customFormat="1" ht="35.25" spans="1:15">
      <c r="A86" s="39">
        <v>85</v>
      </c>
      <c r="B86" s="60" t="s">
        <v>274</v>
      </c>
      <c r="C86" s="39">
        <v>1</v>
      </c>
      <c r="D86" s="40" t="s">
        <v>275</v>
      </c>
      <c r="E86" s="40">
        <v>54</v>
      </c>
      <c r="F86" s="39" t="s">
        <v>276</v>
      </c>
      <c r="G86" s="39" t="s">
        <v>276</v>
      </c>
      <c r="H86" s="39" t="e">
        <f t="shared" si="1"/>
        <v>#VALUE!</v>
      </c>
      <c r="I86" s="39" t="s">
        <v>85</v>
      </c>
      <c r="J86" s="39" t="s">
        <v>39</v>
      </c>
      <c r="K86" s="43">
        <v>20</v>
      </c>
      <c r="L86" s="43">
        <v>1</v>
      </c>
      <c r="M86" s="44">
        <v>1</v>
      </c>
      <c r="N86" s="42">
        <v>1</v>
      </c>
      <c r="O86" s="42">
        <v>0</v>
      </c>
    </row>
    <row r="87" ht="70.5" spans="1:15">
      <c r="A87" s="9">
        <v>86</v>
      </c>
      <c r="B87" s="9" t="s">
        <v>277</v>
      </c>
      <c r="C87" s="9">
        <v>1</v>
      </c>
      <c r="D87" s="9" t="s">
        <v>278</v>
      </c>
      <c r="E87" s="9">
        <v>78</v>
      </c>
      <c r="F87" s="9" t="s">
        <v>279</v>
      </c>
      <c r="G87" s="9">
        <f>5.5*4.5*6</f>
        <v>148.5</v>
      </c>
      <c r="H87" s="9">
        <f t="shared" si="1"/>
        <v>77.22</v>
      </c>
      <c r="I87" s="9" t="s">
        <v>144</v>
      </c>
      <c r="J87" s="9" t="s">
        <v>27</v>
      </c>
      <c r="K87" s="9">
        <v>20</v>
      </c>
      <c r="L87" s="9">
        <v>1</v>
      </c>
      <c r="M87" s="35">
        <v>1</v>
      </c>
      <c r="N87" s="27">
        <v>0</v>
      </c>
      <c r="O87" s="27">
        <v>0</v>
      </c>
    </row>
    <row r="88" s="21" customFormat="1" ht="70.5" spans="1:15">
      <c r="A88" s="9">
        <v>87</v>
      </c>
      <c r="B88" s="57" t="s">
        <v>280</v>
      </c>
      <c r="C88" s="9">
        <v>1</v>
      </c>
      <c r="D88" s="29" t="s">
        <v>281</v>
      </c>
      <c r="E88" s="29">
        <v>82</v>
      </c>
      <c r="F88" s="9" t="s">
        <v>282</v>
      </c>
      <c r="G88" s="9">
        <f>5.3*5.2*4.3</f>
        <v>118.508</v>
      </c>
      <c r="H88" s="9">
        <f t="shared" si="1"/>
        <v>61.62416</v>
      </c>
      <c r="I88" s="9" t="s">
        <v>30</v>
      </c>
      <c r="J88" s="9" t="s">
        <v>31</v>
      </c>
      <c r="K88" s="9">
        <v>5</v>
      </c>
      <c r="L88" s="9">
        <v>1</v>
      </c>
      <c r="M88" s="35">
        <v>1</v>
      </c>
      <c r="N88" s="27">
        <v>0</v>
      </c>
      <c r="O88" s="27">
        <v>1</v>
      </c>
    </row>
    <row r="89" ht="70.5" spans="1:15">
      <c r="A89" s="9">
        <v>88</v>
      </c>
      <c r="B89" s="57" t="s">
        <v>283</v>
      </c>
      <c r="C89" s="9">
        <v>1</v>
      </c>
      <c r="D89" s="29" t="s">
        <v>284</v>
      </c>
      <c r="E89" s="29">
        <v>83</v>
      </c>
      <c r="F89" s="9" t="s">
        <v>285</v>
      </c>
      <c r="G89" s="9">
        <f>4.9*4.3*4.1</f>
        <v>86.387</v>
      </c>
      <c r="H89" s="9">
        <f t="shared" si="1"/>
        <v>44.92124</v>
      </c>
      <c r="I89" s="9" t="s">
        <v>38</v>
      </c>
      <c r="J89" s="9" t="s">
        <v>39</v>
      </c>
      <c r="K89" s="36">
        <v>20</v>
      </c>
      <c r="L89" s="36">
        <v>1</v>
      </c>
      <c r="M89" s="37">
        <v>1</v>
      </c>
      <c r="N89" s="27">
        <v>0</v>
      </c>
      <c r="O89" s="27">
        <v>1</v>
      </c>
    </row>
    <row r="90" ht="70.5" spans="1:15">
      <c r="A90" s="9">
        <v>89</v>
      </c>
      <c r="B90" s="57" t="s">
        <v>286</v>
      </c>
      <c r="C90" s="9">
        <v>1</v>
      </c>
      <c r="D90" s="29" t="s">
        <v>287</v>
      </c>
      <c r="E90" s="29">
        <v>80</v>
      </c>
      <c r="F90" s="9" t="s">
        <v>288</v>
      </c>
      <c r="G90" s="9">
        <f>4.6*4.9*3.7</f>
        <v>83.398</v>
      </c>
      <c r="H90" s="9">
        <f t="shared" si="1"/>
        <v>43.36696</v>
      </c>
      <c r="I90" s="9" t="s">
        <v>26</v>
      </c>
      <c r="J90" s="9" t="s">
        <v>27</v>
      </c>
      <c r="K90" s="9">
        <v>3</v>
      </c>
      <c r="L90" s="9">
        <v>1</v>
      </c>
      <c r="M90" s="35">
        <v>1</v>
      </c>
      <c r="N90" s="27">
        <v>0</v>
      </c>
      <c r="O90" s="27">
        <v>0</v>
      </c>
    </row>
    <row r="91" ht="88.15" spans="1:15">
      <c r="A91" s="9">
        <v>90</v>
      </c>
      <c r="B91" s="9" t="s">
        <v>289</v>
      </c>
      <c r="C91" s="9">
        <v>1</v>
      </c>
      <c r="D91" s="9" t="s">
        <v>290</v>
      </c>
      <c r="E91" s="9">
        <v>79</v>
      </c>
      <c r="F91" s="9" t="s">
        <v>291</v>
      </c>
      <c r="G91" s="9">
        <f>4.9*4*3.4</f>
        <v>66.64</v>
      </c>
      <c r="H91" s="9">
        <f t="shared" si="1"/>
        <v>34.6528</v>
      </c>
      <c r="I91" s="9" t="s">
        <v>16</v>
      </c>
      <c r="J91" s="9" t="s">
        <v>17</v>
      </c>
      <c r="K91" s="9">
        <v>1</v>
      </c>
      <c r="L91" s="9">
        <v>1</v>
      </c>
      <c r="M91" s="35">
        <v>1</v>
      </c>
      <c r="N91" s="27">
        <v>0</v>
      </c>
      <c r="O91" s="27">
        <v>1</v>
      </c>
    </row>
    <row r="92" ht="88.15" spans="1:15">
      <c r="A92" s="9">
        <v>91</v>
      </c>
      <c r="B92" s="57" t="s">
        <v>292</v>
      </c>
      <c r="C92" s="9">
        <v>1</v>
      </c>
      <c r="D92" s="29" t="s">
        <v>293</v>
      </c>
      <c r="E92" s="29">
        <v>69</v>
      </c>
      <c r="F92" s="9" t="s">
        <v>294</v>
      </c>
      <c r="G92" s="9">
        <f>3.8*5.4*3.6</f>
        <v>73.872</v>
      </c>
      <c r="H92" s="9">
        <f t="shared" si="1"/>
        <v>38.41344</v>
      </c>
      <c r="I92" s="9" t="s">
        <v>38</v>
      </c>
      <c r="J92" s="9" t="s">
        <v>39</v>
      </c>
      <c r="K92" s="36">
        <v>10</v>
      </c>
      <c r="L92" s="36">
        <v>1</v>
      </c>
      <c r="M92" s="37">
        <v>1</v>
      </c>
      <c r="N92" s="27">
        <v>0</v>
      </c>
      <c r="O92" s="27">
        <v>0</v>
      </c>
    </row>
    <row r="93" ht="35.25" spans="1:15">
      <c r="A93" s="9">
        <v>92</v>
      </c>
      <c r="B93" s="58" t="s">
        <v>295</v>
      </c>
      <c r="C93" s="9">
        <v>1</v>
      </c>
      <c r="D93" s="8" t="s">
        <v>296</v>
      </c>
      <c r="E93" s="8">
        <v>39</v>
      </c>
      <c r="F93" s="9" t="s">
        <v>297</v>
      </c>
      <c r="G93" s="9">
        <f>4.4*3.1*3.3</f>
        <v>45.012</v>
      </c>
      <c r="H93" s="9">
        <f t="shared" si="1"/>
        <v>23.40624</v>
      </c>
      <c r="I93" s="9" t="s">
        <v>16</v>
      </c>
      <c r="J93" s="9">
        <v>2</v>
      </c>
      <c r="K93" s="9">
        <v>5</v>
      </c>
      <c r="L93" s="9">
        <v>1</v>
      </c>
      <c r="M93" s="35">
        <v>1</v>
      </c>
      <c r="N93" s="27">
        <v>0</v>
      </c>
      <c r="O93" s="27">
        <v>0</v>
      </c>
    </row>
    <row r="94" ht="105.75" spans="1:15">
      <c r="A94" s="9">
        <v>93</v>
      </c>
      <c r="B94" s="57" t="s">
        <v>298</v>
      </c>
      <c r="C94" s="9">
        <v>1</v>
      </c>
      <c r="D94" s="29" t="s">
        <v>299</v>
      </c>
      <c r="E94" s="29">
        <v>65</v>
      </c>
      <c r="F94" s="9" t="s">
        <v>300</v>
      </c>
      <c r="G94" s="9">
        <f>5.2*3.7*4.2</f>
        <v>80.808</v>
      </c>
      <c r="H94" s="9">
        <f t="shared" si="1"/>
        <v>42.02016</v>
      </c>
      <c r="I94" s="9" t="s">
        <v>30</v>
      </c>
      <c r="J94" s="9" t="s">
        <v>31</v>
      </c>
      <c r="K94" s="36">
        <v>20</v>
      </c>
      <c r="L94" s="36">
        <v>1</v>
      </c>
      <c r="M94" s="37">
        <v>1</v>
      </c>
      <c r="N94" s="27">
        <v>0</v>
      </c>
      <c r="O94" s="27">
        <v>1</v>
      </c>
    </row>
    <row r="95" ht="88.15" spans="1:15">
      <c r="A95" s="9">
        <v>94</v>
      </c>
      <c r="B95" s="9" t="s">
        <v>301</v>
      </c>
      <c r="C95" s="9">
        <v>1</v>
      </c>
      <c r="D95" s="9" t="s">
        <v>302</v>
      </c>
      <c r="E95" s="9">
        <v>78</v>
      </c>
      <c r="F95" s="9" t="s">
        <v>303</v>
      </c>
      <c r="G95" s="9">
        <f>5.1*4*4.8</f>
        <v>97.92</v>
      </c>
      <c r="H95" s="9">
        <f t="shared" si="1"/>
        <v>50.9184</v>
      </c>
      <c r="I95" s="9" t="s">
        <v>30</v>
      </c>
      <c r="J95" s="9" t="s">
        <v>31</v>
      </c>
      <c r="K95" s="9">
        <v>5</v>
      </c>
      <c r="L95" s="9">
        <v>1</v>
      </c>
      <c r="M95" s="35">
        <v>1</v>
      </c>
      <c r="N95" s="27">
        <v>0</v>
      </c>
      <c r="O95" s="27">
        <v>1</v>
      </c>
    </row>
    <row r="96" s="20" customFormat="1" ht="70.5" spans="1:15">
      <c r="A96" s="39">
        <v>95</v>
      </c>
      <c r="B96" s="60" t="s">
        <v>304</v>
      </c>
      <c r="C96" s="39">
        <v>1</v>
      </c>
      <c r="D96" s="40" t="s">
        <v>305</v>
      </c>
      <c r="E96" s="40"/>
      <c r="F96" s="39"/>
      <c r="G96" s="39"/>
      <c r="H96" s="39">
        <f t="shared" si="1"/>
        <v>0</v>
      </c>
      <c r="I96" s="39" t="s">
        <v>16</v>
      </c>
      <c r="J96" s="39" t="s">
        <v>17</v>
      </c>
      <c r="K96" s="43">
        <v>10</v>
      </c>
      <c r="L96" s="43">
        <v>1</v>
      </c>
      <c r="M96" s="44">
        <v>1</v>
      </c>
      <c r="N96" s="42">
        <v>0</v>
      </c>
      <c r="O96" s="42">
        <v>0</v>
      </c>
    </row>
    <row r="97" ht="35.25" spans="1:15">
      <c r="A97" s="9">
        <v>96</v>
      </c>
      <c r="B97" s="57" t="s">
        <v>306</v>
      </c>
      <c r="C97" s="9">
        <v>1</v>
      </c>
      <c r="D97" s="29" t="s">
        <v>307</v>
      </c>
      <c r="E97" s="29">
        <v>83</v>
      </c>
      <c r="F97" s="9" t="s">
        <v>308</v>
      </c>
      <c r="G97" s="9">
        <f>4.6*4.3*3.7</f>
        <v>73.186</v>
      </c>
      <c r="H97" s="9">
        <f t="shared" si="1"/>
        <v>38.05672</v>
      </c>
      <c r="I97" s="9" t="s">
        <v>85</v>
      </c>
      <c r="J97" s="9" t="s">
        <v>39</v>
      </c>
      <c r="K97" s="9">
        <v>10</v>
      </c>
      <c r="L97" s="9">
        <v>1</v>
      </c>
      <c r="M97" s="35">
        <v>1</v>
      </c>
      <c r="N97" s="27">
        <v>0</v>
      </c>
      <c r="O97" s="27">
        <v>0</v>
      </c>
    </row>
    <row r="98" ht="70.5" spans="1:15">
      <c r="A98" s="9">
        <v>97</v>
      </c>
      <c r="B98" s="57" t="s">
        <v>309</v>
      </c>
      <c r="C98" s="9">
        <v>1</v>
      </c>
      <c r="D98" s="29" t="s">
        <v>310</v>
      </c>
      <c r="E98" s="29">
        <v>76</v>
      </c>
      <c r="F98" s="9" t="s">
        <v>311</v>
      </c>
      <c r="G98" s="9">
        <f>4.6*4.5*4</f>
        <v>82.8</v>
      </c>
      <c r="H98" s="9">
        <f t="shared" si="1"/>
        <v>43.056</v>
      </c>
      <c r="I98" s="9" t="s">
        <v>85</v>
      </c>
      <c r="J98" s="9" t="s">
        <v>39</v>
      </c>
      <c r="K98" s="36">
        <v>5</v>
      </c>
      <c r="L98" s="36">
        <v>1</v>
      </c>
      <c r="M98" s="37">
        <v>1</v>
      </c>
      <c r="N98" s="27">
        <v>0</v>
      </c>
      <c r="O98" s="27">
        <v>1</v>
      </c>
    </row>
    <row r="99" s="22" customFormat="1" ht="70.5" spans="1:15">
      <c r="A99" s="9">
        <v>98</v>
      </c>
      <c r="B99" s="56" t="s">
        <v>312</v>
      </c>
      <c r="C99" s="9">
        <v>1</v>
      </c>
      <c r="D99" s="9" t="s">
        <v>313</v>
      </c>
      <c r="E99" s="9">
        <v>83</v>
      </c>
      <c r="F99" s="9" t="s">
        <v>314</v>
      </c>
      <c r="G99" s="9">
        <f>4.6*4.5*3.7</f>
        <v>76.59</v>
      </c>
      <c r="H99" s="9">
        <f t="shared" si="1"/>
        <v>39.8268</v>
      </c>
      <c r="I99" s="9" t="s">
        <v>30</v>
      </c>
      <c r="J99" s="9" t="s">
        <v>31</v>
      </c>
      <c r="K99" s="9">
        <v>3</v>
      </c>
      <c r="L99" s="9">
        <v>1</v>
      </c>
      <c r="M99" s="35">
        <v>1</v>
      </c>
      <c r="N99" s="27">
        <v>0</v>
      </c>
      <c r="O99" s="27">
        <v>1</v>
      </c>
    </row>
    <row r="100" ht="35.25" spans="1:15">
      <c r="A100" s="9">
        <v>99</v>
      </c>
      <c r="B100" s="56" t="s">
        <v>315</v>
      </c>
      <c r="C100" s="9">
        <v>1</v>
      </c>
      <c r="D100" s="9" t="s">
        <v>316</v>
      </c>
      <c r="E100" s="9">
        <v>75</v>
      </c>
      <c r="F100" s="9" t="s">
        <v>317</v>
      </c>
      <c r="G100" s="9">
        <f>4.7*5.1*4.7</f>
        <v>112.659</v>
      </c>
      <c r="H100" s="9">
        <f t="shared" si="1"/>
        <v>58.58268</v>
      </c>
      <c r="I100" s="9" t="s">
        <v>16</v>
      </c>
      <c r="J100" s="9" t="s">
        <v>17</v>
      </c>
      <c r="K100" s="9">
        <v>10</v>
      </c>
      <c r="L100" s="9">
        <v>1</v>
      </c>
      <c r="M100" s="35">
        <v>1</v>
      </c>
      <c r="N100" s="27">
        <v>0</v>
      </c>
      <c r="O100" s="27">
        <v>0</v>
      </c>
    </row>
    <row r="101" ht="70.5" spans="1:15">
      <c r="A101" s="9">
        <v>100</v>
      </c>
      <c r="B101" s="56" t="s">
        <v>318</v>
      </c>
      <c r="C101" s="9">
        <v>1</v>
      </c>
      <c r="D101" s="9" t="s">
        <v>319</v>
      </c>
      <c r="E101" s="9">
        <v>71</v>
      </c>
      <c r="F101" s="9" t="s">
        <v>320</v>
      </c>
      <c r="G101" s="9">
        <f>5.7*5.2*4.8</f>
        <v>142.272</v>
      </c>
      <c r="H101" s="9">
        <f t="shared" si="1"/>
        <v>73.98144</v>
      </c>
      <c r="I101" s="9" t="s">
        <v>16</v>
      </c>
      <c r="J101" s="9" t="s">
        <v>17</v>
      </c>
      <c r="K101" s="9">
        <v>15</v>
      </c>
      <c r="L101" s="9">
        <v>1</v>
      </c>
      <c r="M101" s="35">
        <v>1</v>
      </c>
      <c r="N101" s="27">
        <v>0</v>
      </c>
      <c r="O101" s="27">
        <v>1</v>
      </c>
    </row>
    <row r="102" ht="88.15" spans="1:15">
      <c r="A102" s="9">
        <v>101</v>
      </c>
      <c r="B102" s="57" t="s">
        <v>321</v>
      </c>
      <c r="C102" s="9">
        <v>1</v>
      </c>
      <c r="D102" s="29" t="s">
        <v>322</v>
      </c>
      <c r="E102" s="29">
        <v>61</v>
      </c>
      <c r="F102" s="9" t="s">
        <v>323</v>
      </c>
      <c r="G102" s="9">
        <f>5.5*5.2*4.1</f>
        <v>117.26</v>
      </c>
      <c r="H102" s="9">
        <f t="shared" si="1"/>
        <v>60.9752</v>
      </c>
      <c r="I102" s="9" t="s">
        <v>26</v>
      </c>
      <c r="J102" s="9" t="s">
        <v>27</v>
      </c>
      <c r="K102" s="9">
        <v>15</v>
      </c>
      <c r="L102" s="9">
        <v>1</v>
      </c>
      <c r="M102" s="35">
        <v>0</v>
      </c>
      <c r="N102" s="27">
        <v>0</v>
      </c>
      <c r="O102" s="27">
        <v>0</v>
      </c>
    </row>
    <row r="103" ht="35.25" spans="1:15">
      <c r="A103" s="9">
        <v>102</v>
      </c>
      <c r="B103" s="9" t="s">
        <v>324</v>
      </c>
      <c r="C103" s="9">
        <v>1</v>
      </c>
      <c r="D103" s="9" t="s">
        <v>325</v>
      </c>
      <c r="E103" s="9">
        <v>84</v>
      </c>
      <c r="F103" s="9" t="s">
        <v>326</v>
      </c>
      <c r="G103" s="9">
        <f>4.3*4.9*3.8</f>
        <v>80.066</v>
      </c>
      <c r="H103" s="9">
        <f t="shared" si="1"/>
        <v>41.63432</v>
      </c>
      <c r="I103" s="9" t="s">
        <v>30</v>
      </c>
      <c r="J103" s="9" t="s">
        <v>31</v>
      </c>
      <c r="K103" s="9">
        <v>5</v>
      </c>
      <c r="L103" s="9">
        <v>0</v>
      </c>
      <c r="M103" s="35">
        <v>1</v>
      </c>
      <c r="N103" s="27">
        <v>0</v>
      </c>
      <c r="O103" s="27">
        <v>0</v>
      </c>
    </row>
    <row r="104" ht="88.15" spans="1:15">
      <c r="A104" s="9">
        <v>103</v>
      </c>
      <c r="B104" s="56" t="s">
        <v>327</v>
      </c>
      <c r="C104" s="9">
        <v>0</v>
      </c>
      <c r="D104" s="9" t="s">
        <v>328</v>
      </c>
      <c r="E104" s="9">
        <v>69</v>
      </c>
      <c r="F104" s="9" t="s">
        <v>329</v>
      </c>
      <c r="G104" s="9">
        <f>5*4.5*4.3</f>
        <v>96.75</v>
      </c>
      <c r="H104" s="9">
        <f t="shared" si="1"/>
        <v>50.31</v>
      </c>
      <c r="I104" s="9" t="s">
        <v>20</v>
      </c>
      <c r="J104" s="9" t="s">
        <v>21</v>
      </c>
      <c r="K104" s="9">
        <v>10</v>
      </c>
      <c r="L104" s="9">
        <v>1</v>
      </c>
      <c r="M104" s="35">
        <v>1</v>
      </c>
      <c r="N104" s="27">
        <v>0</v>
      </c>
      <c r="O104" s="27">
        <v>0</v>
      </c>
    </row>
    <row r="105" ht="105.75" spans="1:15">
      <c r="A105" s="9">
        <v>104</v>
      </c>
      <c r="B105" s="57" t="s">
        <v>330</v>
      </c>
      <c r="C105" s="9">
        <v>1</v>
      </c>
      <c r="D105" s="29" t="s">
        <v>331</v>
      </c>
      <c r="E105" s="29">
        <v>84</v>
      </c>
      <c r="F105" s="9" t="s">
        <v>332</v>
      </c>
      <c r="G105" s="9">
        <f>4.5*3.2*3.1</f>
        <v>44.64</v>
      </c>
      <c r="H105" s="9">
        <f t="shared" si="1"/>
        <v>23.2128</v>
      </c>
      <c r="I105" s="9" t="s">
        <v>16</v>
      </c>
      <c r="J105" s="9" t="s">
        <v>17</v>
      </c>
      <c r="K105" s="36">
        <v>5</v>
      </c>
      <c r="L105" s="36">
        <v>1</v>
      </c>
      <c r="M105" s="37">
        <v>1</v>
      </c>
      <c r="N105" s="27">
        <v>0</v>
      </c>
      <c r="O105" s="27">
        <v>1</v>
      </c>
    </row>
    <row r="106" ht="88.15" spans="1:15">
      <c r="A106" s="9">
        <v>105</v>
      </c>
      <c r="B106" s="9" t="s">
        <v>333</v>
      </c>
      <c r="C106" s="9">
        <v>1</v>
      </c>
      <c r="D106" s="9" t="s">
        <v>334</v>
      </c>
      <c r="E106" s="9">
        <v>75</v>
      </c>
      <c r="F106" s="9" t="s">
        <v>335</v>
      </c>
      <c r="G106" s="9">
        <f>5.5*4.5*5.6</f>
        <v>138.6</v>
      </c>
      <c r="H106" s="9">
        <f t="shared" si="1"/>
        <v>72.072</v>
      </c>
      <c r="I106" s="9" t="s">
        <v>30</v>
      </c>
      <c r="J106" s="9" t="s">
        <v>31</v>
      </c>
      <c r="K106" s="9">
        <v>2</v>
      </c>
      <c r="L106" s="9">
        <v>1</v>
      </c>
      <c r="M106" s="35">
        <v>1</v>
      </c>
      <c r="N106" s="27">
        <v>0</v>
      </c>
      <c r="O106" s="27">
        <v>1</v>
      </c>
    </row>
    <row r="107" ht="35.25" spans="1:15">
      <c r="A107" s="9">
        <v>106</v>
      </c>
      <c r="B107" s="57" t="s">
        <v>336</v>
      </c>
      <c r="C107" s="9">
        <v>0</v>
      </c>
      <c r="D107" s="29" t="s">
        <v>337</v>
      </c>
      <c r="E107" s="29">
        <v>73</v>
      </c>
      <c r="F107" s="9" t="s">
        <v>338</v>
      </c>
      <c r="G107" s="9">
        <f>4.7*3.4*3.6</f>
        <v>57.528</v>
      </c>
      <c r="H107" s="9">
        <f t="shared" si="1"/>
        <v>29.91456</v>
      </c>
      <c r="I107" s="9" t="s">
        <v>20</v>
      </c>
      <c r="J107" s="9" t="s">
        <v>21</v>
      </c>
      <c r="K107" s="36">
        <v>2</v>
      </c>
      <c r="L107" s="36">
        <v>1</v>
      </c>
      <c r="M107" s="37">
        <v>1</v>
      </c>
      <c r="N107" s="27">
        <v>0</v>
      </c>
      <c r="O107" s="27">
        <v>0</v>
      </c>
    </row>
    <row r="108" ht="88.15" spans="1:15">
      <c r="A108" s="9">
        <v>107</v>
      </c>
      <c r="B108" s="57" t="s">
        <v>339</v>
      </c>
      <c r="C108" s="9">
        <v>1</v>
      </c>
      <c r="D108" s="29" t="s">
        <v>340</v>
      </c>
      <c r="E108" s="29">
        <v>70</v>
      </c>
      <c r="F108" s="9" t="s">
        <v>341</v>
      </c>
      <c r="G108" s="9">
        <f>4*2.8*3.6</f>
        <v>40.32</v>
      </c>
      <c r="H108" s="9">
        <f t="shared" si="1"/>
        <v>20.9664</v>
      </c>
      <c r="I108" s="9" t="s">
        <v>38</v>
      </c>
      <c r="J108" s="9" t="s">
        <v>39</v>
      </c>
      <c r="K108" s="36">
        <v>5</v>
      </c>
      <c r="L108" s="36">
        <v>1</v>
      </c>
      <c r="M108" s="37">
        <v>1</v>
      </c>
      <c r="N108" s="27">
        <v>0</v>
      </c>
      <c r="O108" s="27">
        <v>0</v>
      </c>
    </row>
    <row r="109" ht="70.5" spans="1:15">
      <c r="A109" s="9">
        <v>108</v>
      </c>
      <c r="B109" s="56" t="s">
        <v>342</v>
      </c>
      <c r="C109" s="9">
        <v>1</v>
      </c>
      <c r="D109" s="9" t="s">
        <v>343</v>
      </c>
      <c r="E109" s="9">
        <v>62</v>
      </c>
      <c r="F109" s="9" t="s">
        <v>344</v>
      </c>
      <c r="G109" s="9">
        <f>4.9*3.7*3.3</f>
        <v>59.829</v>
      </c>
      <c r="H109" s="9">
        <f t="shared" si="1"/>
        <v>31.11108</v>
      </c>
      <c r="I109" s="9" t="s">
        <v>26</v>
      </c>
      <c r="J109" s="9" t="s">
        <v>27</v>
      </c>
      <c r="K109" s="9">
        <v>10</v>
      </c>
      <c r="L109" s="9">
        <v>1</v>
      </c>
      <c r="M109" s="35">
        <v>1</v>
      </c>
      <c r="N109" s="27">
        <v>0</v>
      </c>
      <c r="O109" s="27">
        <v>0</v>
      </c>
    </row>
    <row r="110" ht="35.25" spans="1:15">
      <c r="A110" s="9">
        <v>109</v>
      </c>
      <c r="B110" s="57" t="s">
        <v>345</v>
      </c>
      <c r="C110" s="9">
        <v>1</v>
      </c>
      <c r="D110" s="29" t="s">
        <v>346</v>
      </c>
      <c r="E110" s="29">
        <v>80</v>
      </c>
      <c r="F110" s="9" t="s">
        <v>347</v>
      </c>
      <c r="G110" s="9">
        <f>4.6*5.1*4</f>
        <v>93.84</v>
      </c>
      <c r="H110" s="9">
        <f t="shared" si="1"/>
        <v>48.7968</v>
      </c>
      <c r="I110" s="9" t="s">
        <v>30</v>
      </c>
      <c r="J110" s="9" t="s">
        <v>31</v>
      </c>
      <c r="K110" s="36">
        <v>8</v>
      </c>
      <c r="L110" s="36">
        <v>1</v>
      </c>
      <c r="M110" s="37">
        <v>1</v>
      </c>
      <c r="N110" s="27">
        <v>0</v>
      </c>
      <c r="O110" s="27">
        <v>0</v>
      </c>
    </row>
    <row r="111" ht="35.25" spans="1:15">
      <c r="A111" s="9">
        <v>110</v>
      </c>
      <c r="B111" s="57" t="s">
        <v>348</v>
      </c>
      <c r="C111" s="9">
        <v>1</v>
      </c>
      <c r="D111" s="29" t="s">
        <v>349</v>
      </c>
      <c r="E111" s="29">
        <v>63</v>
      </c>
      <c r="F111" s="9" t="s">
        <v>350</v>
      </c>
      <c r="G111" s="9">
        <f>4.2*3.6*3</f>
        <v>45.36</v>
      </c>
      <c r="H111" s="9">
        <f t="shared" si="1"/>
        <v>23.5872</v>
      </c>
      <c r="I111" s="9" t="s">
        <v>38</v>
      </c>
      <c r="J111" s="9" t="s">
        <v>39</v>
      </c>
      <c r="K111" s="9">
        <v>10</v>
      </c>
      <c r="L111" s="9">
        <v>1</v>
      </c>
      <c r="M111" s="35">
        <v>1</v>
      </c>
      <c r="N111" s="27">
        <v>0</v>
      </c>
      <c r="O111" s="27">
        <v>0</v>
      </c>
    </row>
    <row r="112" ht="35.25" spans="1:15">
      <c r="A112" s="9">
        <v>111</v>
      </c>
      <c r="B112" s="57" t="s">
        <v>351</v>
      </c>
      <c r="C112" s="9">
        <v>1</v>
      </c>
      <c r="D112" s="29" t="s">
        <v>352</v>
      </c>
      <c r="E112" s="29">
        <v>70</v>
      </c>
      <c r="F112" s="9" t="s">
        <v>353</v>
      </c>
      <c r="G112" s="9">
        <f>4.8*5.8*4.1</f>
        <v>114.144</v>
      </c>
      <c r="H112" s="9">
        <f t="shared" si="1"/>
        <v>59.35488</v>
      </c>
      <c r="I112" s="9" t="s">
        <v>85</v>
      </c>
      <c r="J112" s="9" t="s">
        <v>39</v>
      </c>
      <c r="K112" s="36">
        <v>5</v>
      </c>
      <c r="L112" s="36">
        <v>1</v>
      </c>
      <c r="M112" s="37">
        <v>1</v>
      </c>
      <c r="N112" s="27">
        <v>0</v>
      </c>
      <c r="O112" s="27">
        <v>1</v>
      </c>
    </row>
    <row r="113" ht="35.25" spans="1:15">
      <c r="A113" s="9">
        <v>112</v>
      </c>
      <c r="B113" s="57" t="s">
        <v>354</v>
      </c>
      <c r="C113" s="9">
        <v>1</v>
      </c>
      <c r="D113" s="29" t="s">
        <v>355</v>
      </c>
      <c r="E113" s="29">
        <v>77</v>
      </c>
      <c r="F113" s="9" t="s">
        <v>356</v>
      </c>
      <c r="G113" s="9">
        <f>5.1*4.2*4.3</f>
        <v>92.106</v>
      </c>
      <c r="H113" s="9">
        <f t="shared" si="1"/>
        <v>47.89512</v>
      </c>
      <c r="I113" s="36" t="s">
        <v>205</v>
      </c>
      <c r="J113" s="9" t="s">
        <v>27</v>
      </c>
      <c r="K113" s="36">
        <v>4</v>
      </c>
      <c r="L113" s="36">
        <v>1</v>
      </c>
      <c r="M113" s="37">
        <v>1</v>
      </c>
      <c r="N113" s="27">
        <v>0</v>
      </c>
      <c r="O113" s="27">
        <v>1</v>
      </c>
    </row>
    <row r="114" ht="35.25" spans="1:15">
      <c r="A114" s="9">
        <v>113</v>
      </c>
      <c r="B114" s="56" t="s">
        <v>357</v>
      </c>
      <c r="C114" s="9">
        <v>1</v>
      </c>
      <c r="D114" s="9" t="s">
        <v>358</v>
      </c>
      <c r="E114" s="9">
        <v>86</v>
      </c>
      <c r="F114" s="9" t="s">
        <v>359</v>
      </c>
      <c r="G114" s="9">
        <f>4.7*4.4*3</f>
        <v>62.04</v>
      </c>
      <c r="H114" s="9">
        <f t="shared" si="1"/>
        <v>32.2608</v>
      </c>
      <c r="I114" s="9" t="s">
        <v>38</v>
      </c>
      <c r="J114" s="9" t="s">
        <v>39</v>
      </c>
      <c r="K114" s="9">
        <v>20</v>
      </c>
      <c r="L114" s="9">
        <v>1</v>
      </c>
      <c r="M114" s="35">
        <v>1</v>
      </c>
      <c r="N114" s="27">
        <v>0</v>
      </c>
      <c r="O114" s="27">
        <v>1</v>
      </c>
    </row>
    <row r="115" ht="88.15" spans="1:15">
      <c r="A115" s="9">
        <v>114</v>
      </c>
      <c r="B115" s="57" t="s">
        <v>360</v>
      </c>
      <c r="C115" s="9">
        <v>1</v>
      </c>
      <c r="D115" s="29" t="s">
        <v>361</v>
      </c>
      <c r="E115" s="29">
        <v>79</v>
      </c>
      <c r="F115" s="9" t="s">
        <v>362</v>
      </c>
      <c r="G115" s="9">
        <f>5.9*5.2*56</f>
        <v>1718.08</v>
      </c>
      <c r="H115" s="9">
        <f t="shared" si="1"/>
        <v>893.4016</v>
      </c>
      <c r="I115" s="9" t="s">
        <v>16</v>
      </c>
      <c r="J115" s="9" t="s">
        <v>17</v>
      </c>
      <c r="K115" s="36">
        <v>10</v>
      </c>
      <c r="L115" s="36">
        <v>1</v>
      </c>
      <c r="M115" s="37">
        <v>1</v>
      </c>
      <c r="N115" s="27">
        <v>0</v>
      </c>
      <c r="O115" s="27">
        <v>0</v>
      </c>
    </row>
    <row r="116" s="23" customFormat="1" ht="70.5" spans="1:15">
      <c r="A116" s="9">
        <v>115</v>
      </c>
      <c r="B116" s="57" t="s">
        <v>363</v>
      </c>
      <c r="C116" s="9">
        <v>1</v>
      </c>
      <c r="D116" s="29" t="s">
        <v>364</v>
      </c>
      <c r="E116" s="29">
        <v>58</v>
      </c>
      <c r="F116" s="9" t="s">
        <v>365</v>
      </c>
      <c r="G116" s="9">
        <f>3.9*3.1*3.3</f>
        <v>39.897</v>
      </c>
      <c r="H116" s="9">
        <f t="shared" si="1"/>
        <v>20.74644</v>
      </c>
      <c r="I116" s="9" t="s">
        <v>205</v>
      </c>
      <c r="J116" s="9" t="s">
        <v>27</v>
      </c>
      <c r="K116" s="9">
        <v>10</v>
      </c>
      <c r="L116" s="9">
        <v>1</v>
      </c>
      <c r="M116" s="35">
        <v>1</v>
      </c>
      <c r="N116" s="27">
        <v>0</v>
      </c>
      <c r="O116" s="27">
        <v>1</v>
      </c>
    </row>
    <row r="117" ht="88.15" spans="1:15">
      <c r="A117" s="9">
        <v>116</v>
      </c>
      <c r="B117" s="57" t="s">
        <v>366</v>
      </c>
      <c r="C117" s="9">
        <v>0</v>
      </c>
      <c r="D117" s="29" t="s">
        <v>367</v>
      </c>
      <c r="E117" s="29">
        <v>59</v>
      </c>
      <c r="F117" s="9" t="s">
        <v>368</v>
      </c>
      <c r="G117" s="9">
        <f>5.9*5.6*4.2</f>
        <v>138.768</v>
      </c>
      <c r="H117" s="9">
        <f t="shared" si="1"/>
        <v>72.15936</v>
      </c>
      <c r="I117" s="9" t="s">
        <v>20</v>
      </c>
      <c r="J117" s="9" t="s">
        <v>21</v>
      </c>
      <c r="K117" s="9">
        <v>5</v>
      </c>
      <c r="L117" s="9">
        <v>1</v>
      </c>
      <c r="M117" s="35">
        <v>1</v>
      </c>
      <c r="N117" s="27">
        <v>0</v>
      </c>
      <c r="O117" s="27">
        <v>1</v>
      </c>
    </row>
    <row r="118" ht="52.9" spans="1:15">
      <c r="A118" s="9">
        <v>117</v>
      </c>
      <c r="B118" s="9" t="s">
        <v>369</v>
      </c>
      <c r="C118" s="9">
        <v>1</v>
      </c>
      <c r="D118" s="9" t="s">
        <v>370</v>
      </c>
      <c r="E118" s="9">
        <v>77</v>
      </c>
      <c r="F118" s="9" t="s">
        <v>371</v>
      </c>
      <c r="G118" s="9">
        <f>4.4*3.9*3.3</f>
        <v>56.628</v>
      </c>
      <c r="H118" s="9">
        <f t="shared" si="1"/>
        <v>29.44656</v>
      </c>
      <c r="I118" s="9" t="s">
        <v>144</v>
      </c>
      <c r="J118" s="9" t="s">
        <v>27</v>
      </c>
      <c r="K118" s="9">
        <v>10</v>
      </c>
      <c r="L118" s="9">
        <v>1</v>
      </c>
      <c r="M118" s="35">
        <v>1</v>
      </c>
      <c r="N118" s="27">
        <v>0</v>
      </c>
      <c r="O118" s="27">
        <v>0</v>
      </c>
    </row>
    <row r="119" ht="35.25" spans="1:15">
      <c r="A119" s="9">
        <v>118</v>
      </c>
      <c r="B119" s="57" t="s">
        <v>372</v>
      </c>
      <c r="C119" s="9">
        <v>1</v>
      </c>
      <c r="D119" s="29" t="s">
        <v>373</v>
      </c>
      <c r="E119" s="29">
        <v>69</v>
      </c>
      <c r="F119" s="9" t="s">
        <v>374</v>
      </c>
      <c r="G119" s="9">
        <f>4.9*4.1*3.3</f>
        <v>66.297</v>
      </c>
      <c r="H119" s="9">
        <f t="shared" si="1"/>
        <v>34.47444</v>
      </c>
      <c r="I119" s="9" t="s">
        <v>26</v>
      </c>
      <c r="J119" s="9" t="s">
        <v>27</v>
      </c>
      <c r="K119" s="36">
        <v>20</v>
      </c>
      <c r="L119" s="36">
        <v>1</v>
      </c>
      <c r="M119" s="37">
        <v>1</v>
      </c>
      <c r="N119" s="27">
        <v>0</v>
      </c>
      <c r="O119" s="27">
        <v>1</v>
      </c>
    </row>
    <row r="120" ht="88.15" spans="1:15">
      <c r="A120" s="9">
        <v>119</v>
      </c>
      <c r="B120" s="9" t="s">
        <v>375</v>
      </c>
      <c r="C120" s="9">
        <v>1</v>
      </c>
      <c r="D120" s="9" t="s">
        <v>376</v>
      </c>
      <c r="E120" s="9">
        <v>70</v>
      </c>
      <c r="F120" s="9" t="s">
        <v>377</v>
      </c>
      <c r="G120" s="9">
        <f>5.2*4.7*3.8</f>
        <v>92.872</v>
      </c>
      <c r="H120" s="9">
        <f t="shared" si="1"/>
        <v>48.29344</v>
      </c>
      <c r="I120" s="9" t="s">
        <v>30</v>
      </c>
      <c r="J120" s="9" t="s">
        <v>31</v>
      </c>
      <c r="K120" s="9">
        <v>2</v>
      </c>
      <c r="L120" s="9">
        <v>0</v>
      </c>
      <c r="M120" s="35">
        <v>1</v>
      </c>
      <c r="N120" s="27">
        <v>0</v>
      </c>
      <c r="O120" s="27">
        <v>1</v>
      </c>
    </row>
    <row r="121" ht="105.75" spans="1:15">
      <c r="A121" s="9">
        <v>120</v>
      </c>
      <c r="B121" s="9" t="s">
        <v>378</v>
      </c>
      <c r="C121" s="9">
        <v>0</v>
      </c>
      <c r="D121" s="9" t="s">
        <v>379</v>
      </c>
      <c r="E121" s="9">
        <v>59</v>
      </c>
      <c r="F121" s="9" t="s">
        <v>380</v>
      </c>
      <c r="G121" s="9">
        <f>5.2*4.4*4.6</f>
        <v>105.248</v>
      </c>
      <c r="H121" s="9">
        <f t="shared" si="1"/>
        <v>54.72896</v>
      </c>
      <c r="I121" s="9" t="s">
        <v>20</v>
      </c>
      <c r="J121" s="9" t="s">
        <v>21</v>
      </c>
      <c r="K121" s="9">
        <v>1</v>
      </c>
      <c r="L121" s="9">
        <v>0</v>
      </c>
      <c r="M121" s="35">
        <v>1</v>
      </c>
      <c r="N121" s="27">
        <v>0</v>
      </c>
      <c r="O121" s="27">
        <v>1</v>
      </c>
    </row>
    <row r="122" ht="88.15" spans="1:15">
      <c r="A122" s="9">
        <v>121</v>
      </c>
      <c r="B122" s="9" t="s">
        <v>381</v>
      </c>
      <c r="C122" s="9">
        <v>1</v>
      </c>
      <c r="D122" s="9" t="s">
        <v>382</v>
      </c>
      <c r="E122" s="9">
        <v>60</v>
      </c>
      <c r="F122" s="9" t="s">
        <v>383</v>
      </c>
      <c r="G122" s="9">
        <f>4.8*4.3*3.7</f>
        <v>76.368</v>
      </c>
      <c r="H122" s="9">
        <f t="shared" si="1"/>
        <v>39.71136</v>
      </c>
      <c r="I122" s="9" t="s">
        <v>30</v>
      </c>
      <c r="J122" s="9" t="s">
        <v>31</v>
      </c>
      <c r="K122" s="9">
        <v>5</v>
      </c>
      <c r="L122" s="9">
        <v>1</v>
      </c>
      <c r="M122" s="35">
        <v>1</v>
      </c>
      <c r="N122" s="27">
        <v>0</v>
      </c>
      <c r="O122" s="27">
        <v>0</v>
      </c>
    </row>
    <row r="123" ht="70.5" spans="1:15">
      <c r="A123" s="9">
        <v>122</v>
      </c>
      <c r="B123" s="9" t="s">
        <v>384</v>
      </c>
      <c r="C123" s="9">
        <v>1</v>
      </c>
      <c r="D123" s="9" t="s">
        <v>385</v>
      </c>
      <c r="E123" s="9">
        <v>68</v>
      </c>
      <c r="F123" s="9" t="s">
        <v>386</v>
      </c>
      <c r="G123" s="9">
        <f>4.5*4.8*4.1</f>
        <v>88.56</v>
      </c>
      <c r="H123" s="9">
        <f t="shared" si="1"/>
        <v>46.0512</v>
      </c>
      <c r="I123" s="9" t="s">
        <v>38</v>
      </c>
      <c r="J123" s="9" t="s">
        <v>39</v>
      </c>
      <c r="K123" s="9">
        <v>10</v>
      </c>
      <c r="L123" s="9">
        <v>1</v>
      </c>
      <c r="M123" s="35">
        <v>1</v>
      </c>
      <c r="N123" s="27">
        <v>0</v>
      </c>
      <c r="O123" s="27">
        <v>0</v>
      </c>
    </row>
    <row r="124" ht="70.5" spans="1:15">
      <c r="A124" s="9">
        <v>123</v>
      </c>
      <c r="B124" s="57" t="s">
        <v>387</v>
      </c>
      <c r="C124" s="9">
        <v>1</v>
      </c>
      <c r="D124" s="29" t="s">
        <v>388</v>
      </c>
      <c r="E124" s="29">
        <v>58</v>
      </c>
      <c r="F124" s="9" t="s">
        <v>389</v>
      </c>
      <c r="G124" s="9">
        <f>6*5*4.9</f>
        <v>147</v>
      </c>
      <c r="H124" s="9">
        <f t="shared" si="1"/>
        <v>76.44</v>
      </c>
      <c r="I124" s="9" t="s">
        <v>16</v>
      </c>
      <c r="J124" s="9" t="s">
        <v>17</v>
      </c>
      <c r="K124" s="36">
        <v>10</v>
      </c>
      <c r="L124" s="36">
        <v>1</v>
      </c>
      <c r="M124" s="37">
        <v>1</v>
      </c>
      <c r="N124" s="27">
        <v>0</v>
      </c>
      <c r="O124" s="27">
        <v>0</v>
      </c>
    </row>
    <row r="125" ht="35.25" spans="1:15">
      <c r="A125" s="9">
        <v>124</v>
      </c>
      <c r="B125" s="9" t="s">
        <v>390</v>
      </c>
      <c r="C125" s="9">
        <v>1</v>
      </c>
      <c r="D125" s="9" t="s">
        <v>391</v>
      </c>
      <c r="E125" s="9">
        <v>72</v>
      </c>
      <c r="F125" s="9" t="s">
        <v>392</v>
      </c>
      <c r="G125" s="9">
        <f>6.1*5.4*6.5</f>
        <v>214.11</v>
      </c>
      <c r="H125" s="9">
        <f t="shared" si="1"/>
        <v>111.3372</v>
      </c>
      <c r="I125" s="9" t="s">
        <v>38</v>
      </c>
      <c r="J125" s="9" t="s">
        <v>39</v>
      </c>
      <c r="K125" s="9"/>
      <c r="L125" s="9"/>
      <c r="M125" s="35"/>
      <c r="N125" s="27">
        <v>0</v>
      </c>
      <c r="O125" s="27">
        <v>0</v>
      </c>
    </row>
    <row r="126" s="24" customFormat="1" ht="35.25" spans="1:15">
      <c r="A126" s="39">
        <v>125</v>
      </c>
      <c r="B126" s="59" t="s">
        <v>393</v>
      </c>
      <c r="C126" s="39">
        <v>1</v>
      </c>
      <c r="D126" s="39" t="s">
        <v>394</v>
      </c>
      <c r="E126" s="39">
        <v>79</v>
      </c>
      <c r="F126" s="39"/>
      <c r="G126" s="39"/>
      <c r="H126" s="39">
        <f t="shared" si="1"/>
        <v>0</v>
      </c>
      <c r="I126" s="39" t="s">
        <v>85</v>
      </c>
      <c r="J126" s="39" t="s">
        <v>39</v>
      </c>
      <c r="K126" s="39">
        <v>30</v>
      </c>
      <c r="L126" s="39">
        <v>1</v>
      </c>
      <c r="M126" s="41">
        <v>1</v>
      </c>
      <c r="N126" s="42">
        <v>0</v>
      </c>
      <c r="O126" s="42">
        <v>0</v>
      </c>
    </row>
    <row r="127" ht="88.15" spans="1:15">
      <c r="A127" s="9">
        <v>126</v>
      </c>
      <c r="B127" s="9" t="s">
        <v>395</v>
      </c>
      <c r="C127" s="9">
        <v>1</v>
      </c>
      <c r="D127" s="9" t="s">
        <v>396</v>
      </c>
      <c r="E127" s="9">
        <v>46</v>
      </c>
      <c r="F127" s="9" t="s">
        <v>397</v>
      </c>
      <c r="G127" s="9">
        <f>4.7*3*2.6</f>
        <v>36.66</v>
      </c>
      <c r="H127" s="9">
        <f t="shared" si="1"/>
        <v>19.0632</v>
      </c>
      <c r="I127" s="9" t="s">
        <v>26</v>
      </c>
      <c r="J127" s="9" t="s">
        <v>27</v>
      </c>
      <c r="K127" s="9">
        <v>5</v>
      </c>
      <c r="L127" s="9">
        <v>1</v>
      </c>
      <c r="M127" s="35">
        <v>1</v>
      </c>
      <c r="N127" s="27">
        <v>0</v>
      </c>
      <c r="O127" s="27">
        <v>0</v>
      </c>
    </row>
    <row r="128" ht="35.25" spans="1:15">
      <c r="A128" s="9">
        <v>127</v>
      </c>
      <c r="B128" s="56" t="s">
        <v>398</v>
      </c>
      <c r="C128" s="9">
        <v>1</v>
      </c>
      <c r="D128" s="9" t="s">
        <v>399</v>
      </c>
      <c r="E128" s="9">
        <v>65</v>
      </c>
      <c r="F128" s="9" t="s">
        <v>400</v>
      </c>
      <c r="G128" s="9">
        <f>5.2*5*4.5</f>
        <v>117</v>
      </c>
      <c r="H128" s="9">
        <f t="shared" si="1"/>
        <v>60.84</v>
      </c>
      <c r="I128" s="9" t="s">
        <v>38</v>
      </c>
      <c r="J128" s="9" t="s">
        <v>39</v>
      </c>
      <c r="K128" s="9">
        <v>5</v>
      </c>
      <c r="L128" s="9">
        <v>1</v>
      </c>
      <c r="M128" s="35">
        <v>1</v>
      </c>
      <c r="N128" s="27">
        <v>0</v>
      </c>
      <c r="O128" s="27">
        <v>0</v>
      </c>
    </row>
    <row r="129" ht="105.75" spans="1:15">
      <c r="A129" s="9">
        <v>128</v>
      </c>
      <c r="B129" s="56" t="s">
        <v>401</v>
      </c>
      <c r="C129" s="9">
        <v>0</v>
      </c>
      <c r="D129" s="9" t="s">
        <v>402</v>
      </c>
      <c r="E129" s="9">
        <v>58</v>
      </c>
      <c r="F129" s="9" t="s">
        <v>403</v>
      </c>
      <c r="G129" s="9">
        <f>5.5*5*4.8</f>
        <v>132</v>
      </c>
      <c r="H129" s="9">
        <f t="shared" si="1"/>
        <v>68.64</v>
      </c>
      <c r="I129" s="9" t="s">
        <v>20</v>
      </c>
      <c r="J129" s="9" t="s">
        <v>21</v>
      </c>
      <c r="K129" s="9">
        <v>3</v>
      </c>
      <c r="L129" s="9">
        <v>1</v>
      </c>
      <c r="M129" s="35">
        <v>1</v>
      </c>
      <c r="N129" s="27">
        <v>0</v>
      </c>
      <c r="O129" s="27">
        <v>0</v>
      </c>
    </row>
    <row r="130" s="20" customFormat="1" ht="35.25" spans="1:15">
      <c r="A130" s="39">
        <v>129</v>
      </c>
      <c r="B130" s="60" t="s">
        <v>404</v>
      </c>
      <c r="C130" s="39">
        <v>1</v>
      </c>
      <c r="D130" s="40" t="s">
        <v>405</v>
      </c>
      <c r="E130" s="40"/>
      <c r="F130" s="40"/>
      <c r="G130" s="40"/>
      <c r="H130" s="39">
        <f t="shared" si="1"/>
        <v>0</v>
      </c>
      <c r="I130" s="39" t="s">
        <v>26</v>
      </c>
      <c r="J130" s="39">
        <v>6</v>
      </c>
      <c r="K130" s="39">
        <v>5</v>
      </c>
      <c r="L130" s="39">
        <v>1</v>
      </c>
      <c r="M130" s="41">
        <v>1</v>
      </c>
      <c r="N130" s="42">
        <v>0</v>
      </c>
      <c r="O130" s="42">
        <v>0</v>
      </c>
    </row>
    <row r="131" ht="35.25" spans="1:15">
      <c r="A131" s="9">
        <v>130</v>
      </c>
      <c r="B131" s="57" t="s">
        <v>406</v>
      </c>
      <c r="C131" s="9">
        <v>1</v>
      </c>
      <c r="D131" s="29" t="s">
        <v>407</v>
      </c>
      <c r="E131" s="29">
        <v>68</v>
      </c>
      <c r="F131" s="9" t="s">
        <v>408</v>
      </c>
      <c r="G131" s="9">
        <f>5*4*4.3</f>
        <v>86</v>
      </c>
      <c r="H131" s="9">
        <f t="shared" ref="H131:H194" si="2">G131*0.52</f>
        <v>44.72</v>
      </c>
      <c r="I131" s="9" t="s">
        <v>85</v>
      </c>
      <c r="J131" s="9" t="s">
        <v>39</v>
      </c>
      <c r="K131" s="36">
        <v>5</v>
      </c>
      <c r="L131" s="36">
        <v>1</v>
      </c>
      <c r="M131" s="37">
        <v>1</v>
      </c>
      <c r="N131" s="27">
        <v>0</v>
      </c>
      <c r="O131" s="27">
        <v>1</v>
      </c>
    </row>
    <row r="132" ht="70.5" spans="1:15">
      <c r="A132" s="9">
        <v>131</v>
      </c>
      <c r="B132" s="57" t="s">
        <v>409</v>
      </c>
      <c r="C132" s="9">
        <v>1</v>
      </c>
      <c r="D132" s="29" t="s">
        <v>410</v>
      </c>
      <c r="E132" s="29">
        <v>83</v>
      </c>
      <c r="F132" s="9" t="s">
        <v>411</v>
      </c>
      <c r="G132" s="9">
        <f>5.6*5.7*7.1</f>
        <v>226.632</v>
      </c>
      <c r="H132" s="9">
        <f t="shared" si="2"/>
        <v>117.84864</v>
      </c>
      <c r="I132" s="9" t="s">
        <v>16</v>
      </c>
      <c r="J132" s="9" t="s">
        <v>17</v>
      </c>
      <c r="K132" s="36">
        <v>5</v>
      </c>
      <c r="L132" s="36">
        <v>1</v>
      </c>
      <c r="M132" s="37">
        <v>1</v>
      </c>
      <c r="N132" s="27">
        <v>0</v>
      </c>
      <c r="O132" s="27">
        <v>0</v>
      </c>
    </row>
    <row r="133" ht="88.15" spans="1:15">
      <c r="A133" s="9">
        <v>132</v>
      </c>
      <c r="B133" s="57" t="s">
        <v>412</v>
      </c>
      <c r="C133" s="9">
        <v>1</v>
      </c>
      <c r="D133" s="29" t="s">
        <v>413</v>
      </c>
      <c r="E133" s="29">
        <v>76</v>
      </c>
      <c r="F133" s="9" t="s">
        <v>414</v>
      </c>
      <c r="G133" s="9">
        <f>4.2*4.4*3.6</f>
        <v>66.528</v>
      </c>
      <c r="H133" s="9">
        <f t="shared" si="2"/>
        <v>34.59456</v>
      </c>
      <c r="I133" s="9" t="s">
        <v>38</v>
      </c>
      <c r="J133" s="9" t="s">
        <v>39</v>
      </c>
      <c r="K133" s="36">
        <v>5</v>
      </c>
      <c r="L133" s="36">
        <v>1</v>
      </c>
      <c r="M133" s="37">
        <v>1</v>
      </c>
      <c r="N133" s="27">
        <v>0</v>
      </c>
      <c r="O133" s="27">
        <v>1</v>
      </c>
    </row>
    <row r="134" ht="88.15" spans="1:15">
      <c r="A134" s="9">
        <v>133</v>
      </c>
      <c r="B134" s="57" t="s">
        <v>415</v>
      </c>
      <c r="C134" s="9">
        <v>1</v>
      </c>
      <c r="D134" s="29" t="s">
        <v>416</v>
      </c>
      <c r="E134" s="29">
        <v>47</v>
      </c>
      <c r="F134" s="9" t="s">
        <v>417</v>
      </c>
      <c r="G134" s="9">
        <f>4.3*4.1*3.2</f>
        <v>56.416</v>
      </c>
      <c r="H134" s="9">
        <f t="shared" si="2"/>
        <v>29.33632</v>
      </c>
      <c r="I134" s="9" t="s">
        <v>26</v>
      </c>
      <c r="J134" s="9" t="s">
        <v>27</v>
      </c>
      <c r="K134" s="36">
        <v>1</v>
      </c>
      <c r="L134" s="36">
        <v>1</v>
      </c>
      <c r="M134" s="37">
        <v>1</v>
      </c>
      <c r="N134" s="27">
        <v>0</v>
      </c>
      <c r="O134" s="27">
        <v>0</v>
      </c>
    </row>
    <row r="135" ht="35.25" spans="1:15">
      <c r="A135" s="9">
        <v>134</v>
      </c>
      <c r="B135" s="57" t="s">
        <v>418</v>
      </c>
      <c r="C135" s="9">
        <v>1</v>
      </c>
      <c r="D135" s="29" t="s">
        <v>419</v>
      </c>
      <c r="E135" s="29">
        <v>72</v>
      </c>
      <c r="F135" s="9" t="s">
        <v>420</v>
      </c>
      <c r="G135" s="9">
        <f>5.4*5.1*4.6</f>
        <v>126.684</v>
      </c>
      <c r="H135" s="9">
        <f t="shared" si="2"/>
        <v>65.87568</v>
      </c>
      <c r="I135" s="9" t="s">
        <v>26</v>
      </c>
      <c r="J135" s="9" t="s">
        <v>27</v>
      </c>
      <c r="K135" s="36">
        <v>5</v>
      </c>
      <c r="L135" s="9">
        <v>1</v>
      </c>
      <c r="M135" s="35">
        <v>1</v>
      </c>
      <c r="N135" s="27">
        <v>0</v>
      </c>
      <c r="O135" s="27">
        <v>0</v>
      </c>
    </row>
    <row r="136" ht="35.25" spans="1:15">
      <c r="A136" s="9">
        <v>135</v>
      </c>
      <c r="B136" s="9" t="s">
        <v>421</v>
      </c>
      <c r="C136" s="9">
        <v>1</v>
      </c>
      <c r="D136" s="9" t="s">
        <v>422</v>
      </c>
      <c r="E136" s="9">
        <v>76</v>
      </c>
      <c r="F136" s="9" t="s">
        <v>423</v>
      </c>
      <c r="G136" s="9">
        <f>5.2*5*5.5</f>
        <v>143</v>
      </c>
      <c r="H136" s="9">
        <f t="shared" si="2"/>
        <v>74.36</v>
      </c>
      <c r="I136" s="9" t="s">
        <v>38</v>
      </c>
      <c r="J136" s="9" t="s">
        <v>39</v>
      </c>
      <c r="K136" s="9">
        <v>10</v>
      </c>
      <c r="L136" s="9">
        <v>1</v>
      </c>
      <c r="M136" s="35">
        <v>1</v>
      </c>
      <c r="N136" s="27">
        <v>0</v>
      </c>
      <c r="O136" s="27">
        <v>0</v>
      </c>
    </row>
    <row r="137" ht="88.15" spans="1:15">
      <c r="A137" s="9">
        <v>136</v>
      </c>
      <c r="B137" s="57" t="s">
        <v>424</v>
      </c>
      <c r="C137" s="9">
        <v>1</v>
      </c>
      <c r="D137" s="29" t="s">
        <v>425</v>
      </c>
      <c r="E137" s="29">
        <v>57</v>
      </c>
      <c r="F137" s="9" t="s">
        <v>426</v>
      </c>
      <c r="G137" s="9">
        <f>4.7*3.3*4</f>
        <v>62.04</v>
      </c>
      <c r="H137" s="9">
        <f t="shared" si="2"/>
        <v>32.2608</v>
      </c>
      <c r="I137" s="9" t="s">
        <v>30</v>
      </c>
      <c r="J137" s="9" t="s">
        <v>31</v>
      </c>
      <c r="K137" s="9">
        <v>5</v>
      </c>
      <c r="L137" s="9">
        <v>1</v>
      </c>
      <c r="M137" s="35">
        <v>1</v>
      </c>
      <c r="N137" s="27">
        <v>0</v>
      </c>
      <c r="O137" s="27">
        <v>0</v>
      </c>
    </row>
    <row r="138" ht="35.25" spans="1:15">
      <c r="A138" s="9">
        <v>137</v>
      </c>
      <c r="B138" s="56" t="s">
        <v>427</v>
      </c>
      <c r="C138" s="9">
        <v>1</v>
      </c>
      <c r="D138" s="9" t="s">
        <v>428</v>
      </c>
      <c r="E138" s="9">
        <v>75</v>
      </c>
      <c r="F138" s="9" t="s">
        <v>429</v>
      </c>
      <c r="G138" s="9">
        <f>5.1*5*4.4</f>
        <v>112.2</v>
      </c>
      <c r="H138" s="9">
        <f t="shared" si="2"/>
        <v>58.344</v>
      </c>
      <c r="I138" s="9" t="s">
        <v>26</v>
      </c>
      <c r="J138" s="9" t="s">
        <v>27</v>
      </c>
      <c r="K138" s="9">
        <v>3</v>
      </c>
      <c r="L138" s="9">
        <v>1</v>
      </c>
      <c r="M138" s="35">
        <v>1</v>
      </c>
      <c r="N138" s="27">
        <v>0</v>
      </c>
      <c r="O138" s="27">
        <v>0</v>
      </c>
    </row>
    <row r="139" ht="35.25" spans="1:15">
      <c r="A139" s="9">
        <v>138</v>
      </c>
      <c r="B139" s="56" t="s">
        <v>430</v>
      </c>
      <c r="C139" s="9">
        <v>1</v>
      </c>
      <c r="D139" s="9" t="s">
        <v>431</v>
      </c>
      <c r="E139" s="9">
        <v>79</v>
      </c>
      <c r="F139" s="9" t="s">
        <v>432</v>
      </c>
      <c r="G139" s="9">
        <f>4.2*2.7*2.8</f>
        <v>31.752</v>
      </c>
      <c r="H139" s="9">
        <f t="shared" si="2"/>
        <v>16.51104</v>
      </c>
      <c r="I139" s="9" t="s">
        <v>38</v>
      </c>
      <c r="J139" s="9" t="s">
        <v>39</v>
      </c>
      <c r="K139" s="9">
        <v>2</v>
      </c>
      <c r="L139" s="9">
        <v>0</v>
      </c>
      <c r="M139" s="35">
        <v>1</v>
      </c>
      <c r="N139" s="27">
        <v>0</v>
      </c>
      <c r="O139" s="27">
        <v>1</v>
      </c>
    </row>
    <row r="140" s="20" customFormat="1" ht="35.25" spans="1:15">
      <c r="A140" s="39">
        <v>139</v>
      </c>
      <c r="B140" s="59" t="s">
        <v>433</v>
      </c>
      <c r="C140" s="39">
        <v>1</v>
      </c>
      <c r="D140" s="39" t="s">
        <v>434</v>
      </c>
      <c r="E140" s="39">
        <v>82</v>
      </c>
      <c r="F140" s="39"/>
      <c r="G140" s="39"/>
      <c r="H140" s="39">
        <f t="shared" si="2"/>
        <v>0</v>
      </c>
      <c r="I140" s="39" t="s">
        <v>16</v>
      </c>
      <c r="J140" s="39" t="s">
        <v>17</v>
      </c>
      <c r="K140" s="39">
        <v>5</v>
      </c>
      <c r="L140" s="39">
        <v>1</v>
      </c>
      <c r="M140" s="41">
        <v>1</v>
      </c>
      <c r="N140" s="42">
        <v>0</v>
      </c>
      <c r="O140" s="42">
        <v>1</v>
      </c>
    </row>
    <row r="141" ht="70.5" spans="1:15">
      <c r="A141" s="9">
        <v>140</v>
      </c>
      <c r="B141" s="56" t="s">
        <v>435</v>
      </c>
      <c r="C141" s="9">
        <v>1</v>
      </c>
      <c r="D141" s="9" t="s">
        <v>436</v>
      </c>
      <c r="E141" s="9">
        <v>83</v>
      </c>
      <c r="F141" s="9" t="s">
        <v>437</v>
      </c>
      <c r="G141" s="9">
        <f>4.6*3.4*4.3</f>
        <v>67.252</v>
      </c>
      <c r="H141" s="9">
        <f t="shared" si="2"/>
        <v>34.97104</v>
      </c>
      <c r="I141" s="9" t="s">
        <v>16</v>
      </c>
      <c r="J141" s="9" t="s">
        <v>17</v>
      </c>
      <c r="K141" s="9">
        <v>2</v>
      </c>
      <c r="L141" s="9">
        <v>1</v>
      </c>
      <c r="M141" s="35">
        <v>1</v>
      </c>
      <c r="N141" s="27">
        <v>0</v>
      </c>
      <c r="O141" s="27">
        <v>1</v>
      </c>
    </row>
    <row r="142" ht="35.25" spans="1:15">
      <c r="A142" s="9">
        <v>141</v>
      </c>
      <c r="B142" s="56" t="s">
        <v>438</v>
      </c>
      <c r="C142" s="9">
        <v>0</v>
      </c>
      <c r="D142" s="9" t="s">
        <v>439</v>
      </c>
      <c r="E142" s="9">
        <v>75</v>
      </c>
      <c r="F142" s="9" t="s">
        <v>440</v>
      </c>
      <c r="G142" s="9">
        <f>4*2.8*3.4</f>
        <v>38.08</v>
      </c>
      <c r="H142" s="9">
        <f t="shared" si="2"/>
        <v>19.8016</v>
      </c>
      <c r="I142" s="9" t="s">
        <v>20</v>
      </c>
      <c r="J142" s="9" t="s">
        <v>21</v>
      </c>
      <c r="K142" s="9">
        <v>5</v>
      </c>
      <c r="L142" s="9">
        <v>1</v>
      </c>
      <c r="M142" s="35">
        <v>1</v>
      </c>
      <c r="N142" s="27">
        <v>0</v>
      </c>
      <c r="O142" s="27">
        <v>0</v>
      </c>
    </row>
    <row r="143" ht="105.75" spans="1:15">
      <c r="A143" s="9">
        <v>142</v>
      </c>
      <c r="B143" s="56" t="s">
        <v>441</v>
      </c>
      <c r="C143" s="9">
        <v>1</v>
      </c>
      <c r="D143" s="9" t="s">
        <v>442</v>
      </c>
      <c r="E143" s="9">
        <v>65</v>
      </c>
      <c r="F143" s="9" t="s">
        <v>443</v>
      </c>
      <c r="G143" s="9">
        <f>4.4*3.5*4.1</f>
        <v>63.14</v>
      </c>
      <c r="H143" s="9">
        <f t="shared" si="2"/>
        <v>32.8328</v>
      </c>
      <c r="I143" s="9" t="s">
        <v>205</v>
      </c>
      <c r="J143" s="9" t="s">
        <v>27</v>
      </c>
      <c r="K143" s="9">
        <v>20</v>
      </c>
      <c r="L143" s="9">
        <v>1</v>
      </c>
      <c r="M143" s="35">
        <v>1</v>
      </c>
      <c r="N143" s="27">
        <v>0</v>
      </c>
      <c r="O143" s="27">
        <v>1</v>
      </c>
    </row>
    <row r="144" ht="17.65" spans="1:15">
      <c r="A144" s="9">
        <v>143</v>
      </c>
      <c r="B144" s="56" t="s">
        <v>444</v>
      </c>
      <c r="C144" s="9">
        <v>1</v>
      </c>
      <c r="D144" s="9" t="s">
        <v>445</v>
      </c>
      <c r="E144" s="9">
        <v>68</v>
      </c>
      <c r="F144" s="9" t="s">
        <v>446</v>
      </c>
      <c r="G144" s="9">
        <f>6.5*4.6*5.9</f>
        <v>176.41</v>
      </c>
      <c r="H144" s="9">
        <f t="shared" si="2"/>
        <v>91.7332</v>
      </c>
      <c r="I144" s="9" t="s">
        <v>85</v>
      </c>
      <c r="J144" s="9" t="s">
        <v>39</v>
      </c>
      <c r="K144" s="9">
        <v>5</v>
      </c>
      <c r="L144" s="9">
        <v>1</v>
      </c>
      <c r="M144" s="35">
        <v>1</v>
      </c>
      <c r="N144" s="27">
        <v>0</v>
      </c>
      <c r="O144" s="27">
        <v>1</v>
      </c>
    </row>
    <row r="145" s="21" customFormat="1" ht="35.25" spans="1:15">
      <c r="A145" s="9">
        <v>144</v>
      </c>
      <c r="B145" s="57" t="s">
        <v>447</v>
      </c>
      <c r="C145" s="9">
        <v>1</v>
      </c>
      <c r="D145" s="29" t="s">
        <v>448</v>
      </c>
      <c r="E145" s="29">
        <v>80</v>
      </c>
      <c r="F145" s="9" t="s">
        <v>449</v>
      </c>
      <c r="G145" s="9">
        <f>6.2*5.1*6.7</f>
        <v>211.854</v>
      </c>
      <c r="H145" s="9">
        <f t="shared" si="2"/>
        <v>110.16408</v>
      </c>
      <c r="I145" s="9" t="s">
        <v>85</v>
      </c>
      <c r="J145" s="9" t="s">
        <v>39</v>
      </c>
      <c r="K145" s="9">
        <v>30</v>
      </c>
      <c r="L145" s="9">
        <v>1</v>
      </c>
      <c r="M145" s="35">
        <v>1</v>
      </c>
      <c r="N145" s="27">
        <v>0</v>
      </c>
      <c r="O145" s="27">
        <v>0</v>
      </c>
    </row>
    <row r="146" ht="211.5" spans="1:15">
      <c r="A146" s="9">
        <v>145</v>
      </c>
      <c r="B146" s="57" t="s">
        <v>450</v>
      </c>
      <c r="C146" s="9">
        <v>0</v>
      </c>
      <c r="D146" s="29" t="s">
        <v>451</v>
      </c>
      <c r="E146" s="29">
        <v>75</v>
      </c>
      <c r="F146" s="9" t="s">
        <v>452</v>
      </c>
      <c r="G146" s="9">
        <f>5.2*4.1*3.2</f>
        <v>68.224</v>
      </c>
      <c r="H146" s="9">
        <f t="shared" si="2"/>
        <v>35.47648</v>
      </c>
      <c r="I146" s="9" t="s">
        <v>20</v>
      </c>
      <c r="J146" s="9" t="s">
        <v>21</v>
      </c>
      <c r="K146" s="9">
        <v>2</v>
      </c>
      <c r="L146" s="9">
        <v>1</v>
      </c>
      <c r="M146" s="35">
        <v>1</v>
      </c>
      <c r="N146" s="27">
        <v>0</v>
      </c>
      <c r="O146" s="27">
        <v>0</v>
      </c>
    </row>
    <row r="147" ht="70.5" spans="1:15">
      <c r="A147" s="9">
        <v>146</v>
      </c>
      <c r="B147" s="57" t="s">
        <v>453</v>
      </c>
      <c r="C147" s="9">
        <v>1</v>
      </c>
      <c r="D147" s="29" t="s">
        <v>454</v>
      </c>
      <c r="E147" s="29">
        <v>67</v>
      </c>
      <c r="F147" s="9" t="s">
        <v>455</v>
      </c>
      <c r="G147" s="9">
        <f>5.4*4.2*3.8</f>
        <v>86.184</v>
      </c>
      <c r="H147" s="9">
        <f t="shared" si="2"/>
        <v>44.81568</v>
      </c>
      <c r="I147" s="9" t="s">
        <v>38</v>
      </c>
      <c r="J147" s="9" t="s">
        <v>39</v>
      </c>
      <c r="K147" s="9">
        <v>3</v>
      </c>
      <c r="L147" s="9">
        <v>1</v>
      </c>
      <c r="M147" s="35">
        <v>1</v>
      </c>
      <c r="N147" s="27">
        <v>0</v>
      </c>
      <c r="O147" s="27">
        <v>1</v>
      </c>
    </row>
    <row r="148" ht="35.25" spans="1:15">
      <c r="A148" s="9">
        <v>147</v>
      </c>
      <c r="B148" s="57" t="s">
        <v>456</v>
      </c>
      <c r="C148" s="9">
        <v>1</v>
      </c>
      <c r="D148" s="8" t="s">
        <v>457</v>
      </c>
      <c r="E148" s="29">
        <v>56</v>
      </c>
      <c r="F148" s="9" t="s">
        <v>458</v>
      </c>
      <c r="G148" s="9">
        <f>4.1*3.6*3.5</f>
        <v>51.66</v>
      </c>
      <c r="H148" s="9">
        <f t="shared" si="2"/>
        <v>26.8632</v>
      </c>
      <c r="I148" s="9" t="s">
        <v>30</v>
      </c>
      <c r="J148" s="9">
        <v>3</v>
      </c>
      <c r="K148" s="9">
        <v>5</v>
      </c>
      <c r="L148" s="9">
        <v>1</v>
      </c>
      <c r="M148" s="35">
        <v>1</v>
      </c>
      <c r="N148" s="27">
        <v>0</v>
      </c>
      <c r="O148" s="27">
        <v>0</v>
      </c>
    </row>
    <row r="149" ht="52.9" spans="1:15">
      <c r="A149" s="9">
        <v>148</v>
      </c>
      <c r="B149" s="57" t="s">
        <v>459</v>
      </c>
      <c r="C149" s="9">
        <v>1</v>
      </c>
      <c r="D149" s="29" t="s">
        <v>460</v>
      </c>
      <c r="E149" s="29">
        <v>79</v>
      </c>
      <c r="F149" s="9" t="s">
        <v>461</v>
      </c>
      <c r="G149" s="9">
        <f>6.6*5.3*4.4</f>
        <v>153.912</v>
      </c>
      <c r="H149" s="9">
        <f t="shared" si="2"/>
        <v>80.03424</v>
      </c>
      <c r="I149" s="9" t="s">
        <v>85</v>
      </c>
      <c r="J149" s="9" t="s">
        <v>39</v>
      </c>
      <c r="K149" s="9">
        <v>15</v>
      </c>
      <c r="L149" s="9">
        <v>1</v>
      </c>
      <c r="M149" s="35">
        <v>1</v>
      </c>
      <c r="N149" s="27">
        <v>0</v>
      </c>
      <c r="O149" s="27">
        <v>0</v>
      </c>
    </row>
    <row r="150" ht="70.5" spans="1:15">
      <c r="A150" s="9">
        <v>149</v>
      </c>
      <c r="B150" s="57" t="s">
        <v>462</v>
      </c>
      <c r="C150" s="9">
        <v>1</v>
      </c>
      <c r="D150" s="29" t="s">
        <v>463</v>
      </c>
      <c r="E150" s="29">
        <v>59</v>
      </c>
      <c r="F150" s="9" t="s">
        <v>464</v>
      </c>
      <c r="G150" s="9">
        <f>5*5.2*4.8</f>
        <v>124.8</v>
      </c>
      <c r="H150" s="9">
        <f t="shared" si="2"/>
        <v>64.896</v>
      </c>
      <c r="I150" s="9" t="s">
        <v>16</v>
      </c>
      <c r="J150" s="9" t="s">
        <v>17</v>
      </c>
      <c r="K150" s="9">
        <v>20</v>
      </c>
      <c r="L150" s="9">
        <v>1</v>
      </c>
      <c r="M150" s="35">
        <v>1</v>
      </c>
      <c r="N150" s="27">
        <v>0</v>
      </c>
      <c r="O150" s="27">
        <v>0</v>
      </c>
    </row>
    <row r="151" ht="35.25" spans="1:15">
      <c r="A151" s="9">
        <v>150</v>
      </c>
      <c r="B151" s="57" t="s">
        <v>465</v>
      </c>
      <c r="C151" s="9">
        <v>1</v>
      </c>
      <c r="D151" s="29" t="s">
        <v>466</v>
      </c>
      <c r="E151" s="29">
        <v>72</v>
      </c>
      <c r="F151" s="9" t="s">
        <v>467</v>
      </c>
      <c r="G151" s="9">
        <f>4.6*4.1*4.5</f>
        <v>84.87</v>
      </c>
      <c r="H151" s="9">
        <f t="shared" si="2"/>
        <v>44.1324</v>
      </c>
      <c r="I151" s="9" t="s">
        <v>30</v>
      </c>
      <c r="J151" s="9" t="s">
        <v>31</v>
      </c>
      <c r="K151" s="9">
        <v>10</v>
      </c>
      <c r="L151" s="9">
        <v>1</v>
      </c>
      <c r="M151" s="35">
        <v>1</v>
      </c>
      <c r="N151" s="27">
        <v>0</v>
      </c>
      <c r="O151" s="27">
        <v>1</v>
      </c>
    </row>
    <row r="152" s="21" customFormat="1" ht="88.15" spans="1:15">
      <c r="A152" s="9">
        <v>151</v>
      </c>
      <c r="B152" s="57" t="s">
        <v>468</v>
      </c>
      <c r="C152" s="9">
        <v>1</v>
      </c>
      <c r="D152" s="29" t="s">
        <v>469</v>
      </c>
      <c r="E152" s="29">
        <v>78</v>
      </c>
      <c r="F152" s="9" t="s">
        <v>470</v>
      </c>
      <c r="G152" s="9">
        <f>5.4*3.9*4.1</f>
        <v>86.346</v>
      </c>
      <c r="H152" s="9">
        <f t="shared" si="2"/>
        <v>44.89992</v>
      </c>
      <c r="I152" s="9" t="s">
        <v>26</v>
      </c>
      <c r="J152" s="9" t="s">
        <v>27</v>
      </c>
      <c r="K152" s="9">
        <v>20</v>
      </c>
      <c r="L152" s="9">
        <v>1</v>
      </c>
      <c r="M152" s="35">
        <v>1</v>
      </c>
      <c r="N152" s="27">
        <v>0</v>
      </c>
      <c r="O152" s="27">
        <v>0</v>
      </c>
    </row>
    <row r="153" ht="88.15" spans="1:15">
      <c r="A153" s="9">
        <v>152</v>
      </c>
      <c r="B153" s="57" t="s">
        <v>471</v>
      </c>
      <c r="C153" s="9">
        <v>1</v>
      </c>
      <c r="D153" s="29" t="s">
        <v>472</v>
      </c>
      <c r="E153" s="29">
        <v>73</v>
      </c>
      <c r="F153" s="9" t="s">
        <v>473</v>
      </c>
      <c r="G153" s="9">
        <f>5.1*4*3.8</f>
        <v>77.52</v>
      </c>
      <c r="H153" s="9">
        <f t="shared" si="2"/>
        <v>40.3104</v>
      </c>
      <c r="I153" s="9" t="s">
        <v>30</v>
      </c>
      <c r="J153" s="9" t="s">
        <v>31</v>
      </c>
      <c r="K153" s="9">
        <v>5</v>
      </c>
      <c r="L153" s="9">
        <v>1</v>
      </c>
      <c r="M153" s="35">
        <v>1</v>
      </c>
      <c r="N153" s="27">
        <v>0</v>
      </c>
      <c r="O153" s="27">
        <v>0</v>
      </c>
    </row>
    <row r="154" s="21" customFormat="1" ht="70.5" spans="1:15">
      <c r="A154" s="9">
        <v>153</v>
      </c>
      <c r="B154" s="57" t="s">
        <v>474</v>
      </c>
      <c r="C154" s="9">
        <v>1</v>
      </c>
      <c r="D154" s="29" t="s">
        <v>475</v>
      </c>
      <c r="E154" s="29">
        <v>70</v>
      </c>
      <c r="F154" s="9" t="s">
        <v>476</v>
      </c>
      <c r="G154" s="9">
        <f>4.8*4.5*4.3</f>
        <v>92.88</v>
      </c>
      <c r="H154" s="9">
        <f t="shared" si="2"/>
        <v>48.2976</v>
      </c>
      <c r="I154" s="9" t="s">
        <v>144</v>
      </c>
      <c r="J154" s="9" t="s">
        <v>27</v>
      </c>
      <c r="K154" s="9">
        <v>6</v>
      </c>
      <c r="L154" s="9">
        <v>1</v>
      </c>
      <c r="M154" s="35">
        <v>1</v>
      </c>
      <c r="N154" s="27">
        <v>0</v>
      </c>
      <c r="O154" s="27">
        <v>0</v>
      </c>
    </row>
    <row r="155" ht="70.5" spans="1:15">
      <c r="A155" s="9">
        <v>154</v>
      </c>
      <c r="B155" s="57" t="s">
        <v>477</v>
      </c>
      <c r="C155" s="9">
        <v>1</v>
      </c>
      <c r="D155" s="8" t="s">
        <v>478</v>
      </c>
      <c r="E155" s="29">
        <v>79</v>
      </c>
      <c r="F155" s="9" t="s">
        <v>479</v>
      </c>
      <c r="G155" s="9">
        <f>5.3*4.5*6.1</f>
        <v>145.485</v>
      </c>
      <c r="H155" s="9">
        <f t="shared" si="2"/>
        <v>75.6522</v>
      </c>
      <c r="I155" s="9" t="s">
        <v>30</v>
      </c>
      <c r="J155" s="9">
        <v>3</v>
      </c>
      <c r="K155" s="9">
        <v>15</v>
      </c>
      <c r="L155" s="9">
        <v>1</v>
      </c>
      <c r="M155" s="35">
        <v>1</v>
      </c>
      <c r="N155" s="27">
        <v>0</v>
      </c>
      <c r="O155" s="27">
        <v>1</v>
      </c>
    </row>
    <row r="156" ht="35.25" spans="1:15">
      <c r="A156" s="9">
        <v>155</v>
      </c>
      <c r="B156" s="9" t="s">
        <v>480</v>
      </c>
      <c r="C156" s="9">
        <v>1</v>
      </c>
      <c r="D156" s="9" t="s">
        <v>481</v>
      </c>
      <c r="E156" s="9">
        <v>69</v>
      </c>
      <c r="F156" s="9" t="s">
        <v>482</v>
      </c>
      <c r="G156" s="9">
        <f>5.8*4.9*5.1</f>
        <v>144.942</v>
      </c>
      <c r="H156" s="9">
        <f t="shared" si="2"/>
        <v>75.36984</v>
      </c>
      <c r="I156" s="9" t="s">
        <v>16</v>
      </c>
      <c r="J156" s="9">
        <v>5</v>
      </c>
      <c r="K156" s="9">
        <v>2</v>
      </c>
      <c r="L156" s="9">
        <v>1</v>
      </c>
      <c r="M156" s="35">
        <v>1</v>
      </c>
      <c r="N156" s="27">
        <v>0</v>
      </c>
      <c r="O156" s="27">
        <v>0</v>
      </c>
    </row>
    <row r="157" s="21" customFormat="1" ht="70.5" spans="1:15">
      <c r="A157" s="9">
        <v>156</v>
      </c>
      <c r="B157" s="57" t="s">
        <v>483</v>
      </c>
      <c r="C157" s="9">
        <v>1</v>
      </c>
      <c r="D157" s="8" t="s">
        <v>484</v>
      </c>
      <c r="E157" s="29">
        <v>58</v>
      </c>
      <c r="F157" s="9" t="s">
        <v>485</v>
      </c>
      <c r="G157" s="9">
        <f>5.8*5.3*4.7</f>
        <v>144.478</v>
      </c>
      <c r="H157" s="9">
        <f t="shared" si="2"/>
        <v>75.12856</v>
      </c>
      <c r="I157" s="9" t="s">
        <v>26</v>
      </c>
      <c r="J157" s="9">
        <v>6</v>
      </c>
      <c r="K157" s="9">
        <v>15</v>
      </c>
      <c r="L157" s="9">
        <v>1</v>
      </c>
      <c r="M157" s="35">
        <v>1</v>
      </c>
      <c r="N157" s="27">
        <v>0</v>
      </c>
      <c r="O157" s="27">
        <v>1</v>
      </c>
    </row>
    <row r="158" ht="88.15" spans="1:15">
      <c r="A158" s="9">
        <v>157</v>
      </c>
      <c r="B158" s="57" t="s">
        <v>486</v>
      </c>
      <c r="C158" s="9">
        <v>1</v>
      </c>
      <c r="D158" s="29" t="s">
        <v>487</v>
      </c>
      <c r="E158" s="29">
        <v>77</v>
      </c>
      <c r="F158" s="9" t="s">
        <v>488</v>
      </c>
      <c r="G158" s="9">
        <f>4.1*3.3*3.8</f>
        <v>51.414</v>
      </c>
      <c r="H158" s="9">
        <f t="shared" si="2"/>
        <v>26.73528</v>
      </c>
      <c r="I158" s="9" t="s">
        <v>16</v>
      </c>
      <c r="J158" s="9" t="s">
        <v>17</v>
      </c>
      <c r="K158" s="9">
        <v>3</v>
      </c>
      <c r="L158" s="9">
        <v>1</v>
      </c>
      <c r="M158" s="35">
        <v>1</v>
      </c>
      <c r="N158" s="27">
        <v>0</v>
      </c>
      <c r="O158" s="27">
        <v>0</v>
      </c>
    </row>
    <row r="159" ht="35.25" spans="1:15">
      <c r="A159" s="9">
        <v>158</v>
      </c>
      <c r="B159" s="57" t="s">
        <v>489</v>
      </c>
      <c r="C159" s="9">
        <v>1</v>
      </c>
      <c r="D159" s="29" t="s">
        <v>490</v>
      </c>
      <c r="E159" s="29">
        <v>89</v>
      </c>
      <c r="F159" s="9" t="s">
        <v>491</v>
      </c>
      <c r="G159" s="9">
        <f>5.2*4.9*4.8</f>
        <v>122.304</v>
      </c>
      <c r="H159" s="9">
        <f t="shared" si="2"/>
        <v>63.59808</v>
      </c>
      <c r="I159" s="9" t="s">
        <v>85</v>
      </c>
      <c r="J159" s="9" t="s">
        <v>39</v>
      </c>
      <c r="K159" s="9">
        <v>3</v>
      </c>
      <c r="L159" s="9">
        <v>1</v>
      </c>
      <c r="M159" s="35">
        <v>1</v>
      </c>
      <c r="N159" s="27">
        <v>0</v>
      </c>
      <c r="O159" s="27">
        <v>0</v>
      </c>
    </row>
    <row r="160" s="21" customFormat="1" ht="35.25" spans="1:15">
      <c r="A160" s="9">
        <v>159</v>
      </c>
      <c r="B160" s="57" t="s">
        <v>492</v>
      </c>
      <c r="C160" s="9">
        <v>0</v>
      </c>
      <c r="D160" s="8" t="s">
        <v>493</v>
      </c>
      <c r="E160" s="29">
        <v>85</v>
      </c>
      <c r="F160" s="9" t="s">
        <v>494</v>
      </c>
      <c r="G160" s="9">
        <f>6.7*7.3*6.3</f>
        <v>308.133</v>
      </c>
      <c r="H160" s="9">
        <f t="shared" si="2"/>
        <v>160.22916</v>
      </c>
      <c r="I160" s="9" t="s">
        <v>20</v>
      </c>
      <c r="J160" s="9">
        <v>6</v>
      </c>
      <c r="K160" s="9">
        <v>3</v>
      </c>
      <c r="L160" s="9">
        <v>1</v>
      </c>
      <c r="M160" s="35">
        <v>1</v>
      </c>
      <c r="N160" s="27">
        <v>0</v>
      </c>
      <c r="O160" s="27">
        <v>0</v>
      </c>
    </row>
    <row r="161" ht="123.4" spans="1:15">
      <c r="A161" s="9">
        <v>160</v>
      </c>
      <c r="B161" s="9" t="s">
        <v>495</v>
      </c>
      <c r="C161" s="9">
        <v>1</v>
      </c>
      <c r="D161" s="9" t="s">
        <v>496</v>
      </c>
      <c r="E161" s="9">
        <v>75</v>
      </c>
      <c r="F161" s="9" t="s">
        <v>497</v>
      </c>
      <c r="G161" s="9">
        <f>5.8*5.5*4.5</f>
        <v>143.55</v>
      </c>
      <c r="H161" s="9">
        <f t="shared" si="2"/>
        <v>74.646</v>
      </c>
      <c r="I161" s="9" t="s">
        <v>16</v>
      </c>
      <c r="J161" s="9" t="s">
        <v>17</v>
      </c>
      <c r="K161" s="9">
        <v>5</v>
      </c>
      <c r="L161" s="9">
        <v>1</v>
      </c>
      <c r="M161" s="35">
        <v>1</v>
      </c>
      <c r="N161" s="27">
        <v>0</v>
      </c>
      <c r="O161" s="27">
        <v>0</v>
      </c>
    </row>
    <row r="162" ht="52.9" spans="1:15">
      <c r="A162" s="9">
        <v>161</v>
      </c>
      <c r="B162" s="57" t="s">
        <v>498</v>
      </c>
      <c r="C162" s="9">
        <v>1</v>
      </c>
      <c r="D162" s="29" t="s">
        <v>499</v>
      </c>
      <c r="E162" s="29">
        <v>71</v>
      </c>
      <c r="F162" s="9" t="s">
        <v>500</v>
      </c>
      <c r="G162" s="9">
        <f>6.2*5.2*6.2</f>
        <v>199.888</v>
      </c>
      <c r="H162" s="9">
        <f t="shared" si="2"/>
        <v>103.94176</v>
      </c>
      <c r="I162" s="9" t="s">
        <v>26</v>
      </c>
      <c r="J162" s="9" t="s">
        <v>27</v>
      </c>
      <c r="K162" s="9">
        <v>10</v>
      </c>
      <c r="L162" s="9">
        <v>1</v>
      </c>
      <c r="M162" s="35">
        <v>1</v>
      </c>
      <c r="N162" s="27">
        <v>0</v>
      </c>
      <c r="O162" s="27">
        <v>0</v>
      </c>
    </row>
    <row r="163" ht="70.5" spans="1:15">
      <c r="A163" s="9">
        <v>162</v>
      </c>
      <c r="B163" s="57" t="s">
        <v>501</v>
      </c>
      <c r="C163" s="9">
        <v>0</v>
      </c>
      <c r="D163" s="8" t="s">
        <v>502</v>
      </c>
      <c r="E163" s="29">
        <v>85</v>
      </c>
      <c r="F163" s="9" t="s">
        <v>503</v>
      </c>
      <c r="G163" s="9">
        <f>7*6.1*5.3</f>
        <v>226.31</v>
      </c>
      <c r="H163" s="9">
        <f t="shared" si="2"/>
        <v>117.6812</v>
      </c>
      <c r="I163" s="9" t="s">
        <v>20</v>
      </c>
      <c r="J163" s="9">
        <v>1</v>
      </c>
      <c r="K163" s="9">
        <v>5</v>
      </c>
      <c r="L163" s="9">
        <v>1</v>
      </c>
      <c r="M163" s="35">
        <v>1</v>
      </c>
      <c r="N163" s="27">
        <v>0</v>
      </c>
      <c r="O163" s="27">
        <v>1</v>
      </c>
    </row>
    <row r="164" ht="35.25" spans="1:15">
      <c r="A164" s="9">
        <v>163</v>
      </c>
      <c r="B164" s="9" t="s">
        <v>504</v>
      </c>
      <c r="C164" s="9">
        <v>1</v>
      </c>
      <c r="D164" s="9" t="s">
        <v>505</v>
      </c>
      <c r="E164" s="9">
        <v>78</v>
      </c>
      <c r="F164" s="9" t="s">
        <v>506</v>
      </c>
      <c r="G164" s="9">
        <f>5.4*4.6*3.7</f>
        <v>91.908</v>
      </c>
      <c r="H164" s="9">
        <f t="shared" si="2"/>
        <v>47.79216</v>
      </c>
      <c r="I164" s="9" t="s">
        <v>16</v>
      </c>
      <c r="J164" s="9" t="s">
        <v>17</v>
      </c>
      <c r="K164" s="9">
        <v>5</v>
      </c>
      <c r="L164" s="9">
        <v>1</v>
      </c>
      <c r="M164" s="35">
        <v>0</v>
      </c>
      <c r="N164" s="27">
        <v>0</v>
      </c>
      <c r="O164" s="27">
        <v>1</v>
      </c>
    </row>
    <row r="165" ht="70.5" spans="1:15">
      <c r="A165" s="9">
        <v>164</v>
      </c>
      <c r="B165" s="56" t="s">
        <v>507</v>
      </c>
      <c r="C165" s="9">
        <v>1</v>
      </c>
      <c r="D165" s="9" t="s">
        <v>508</v>
      </c>
      <c r="E165" s="9">
        <v>81</v>
      </c>
      <c r="F165" s="9" t="s">
        <v>509</v>
      </c>
      <c r="G165" s="9">
        <f>4.7*3.2*2.8</f>
        <v>42.112</v>
      </c>
      <c r="H165" s="9">
        <f t="shared" si="2"/>
        <v>21.89824</v>
      </c>
      <c r="I165" s="9" t="s">
        <v>16</v>
      </c>
      <c r="J165" s="9" t="s">
        <v>17</v>
      </c>
      <c r="K165" s="9">
        <v>15</v>
      </c>
      <c r="L165" s="9">
        <v>1</v>
      </c>
      <c r="M165" s="35">
        <v>1</v>
      </c>
      <c r="N165" s="27">
        <v>0</v>
      </c>
      <c r="O165" s="27">
        <v>1</v>
      </c>
    </row>
    <row r="166" ht="88.15" spans="1:15">
      <c r="A166" s="9">
        <v>165</v>
      </c>
      <c r="B166" s="9" t="s">
        <v>510</v>
      </c>
      <c r="C166" s="9">
        <v>1</v>
      </c>
      <c r="D166" s="9" t="s">
        <v>511</v>
      </c>
      <c r="E166" s="9">
        <v>67</v>
      </c>
      <c r="F166" s="9" t="s">
        <v>512</v>
      </c>
      <c r="G166" s="9">
        <f>5.3*4*3.3</f>
        <v>69.96</v>
      </c>
      <c r="H166" s="9">
        <f t="shared" si="2"/>
        <v>36.3792</v>
      </c>
      <c r="I166" s="9" t="s">
        <v>16</v>
      </c>
      <c r="J166" s="9" t="s">
        <v>17</v>
      </c>
      <c r="K166" s="9">
        <v>15</v>
      </c>
      <c r="L166" s="9">
        <v>1</v>
      </c>
      <c r="M166" s="35">
        <v>1</v>
      </c>
      <c r="N166" s="27">
        <v>0</v>
      </c>
      <c r="O166" s="27">
        <v>1</v>
      </c>
    </row>
    <row r="167" ht="70.5" spans="1:15">
      <c r="A167" s="9">
        <v>166</v>
      </c>
      <c r="B167" s="57" t="s">
        <v>513</v>
      </c>
      <c r="C167" s="9">
        <v>1</v>
      </c>
      <c r="D167" s="29" t="s">
        <v>514</v>
      </c>
      <c r="E167" s="29">
        <v>67</v>
      </c>
      <c r="F167" s="9" t="s">
        <v>515</v>
      </c>
      <c r="G167" s="9">
        <f>4.7*3.4*4</f>
        <v>63.92</v>
      </c>
      <c r="H167" s="9">
        <f t="shared" si="2"/>
        <v>33.2384</v>
      </c>
      <c r="I167" s="9" t="s">
        <v>30</v>
      </c>
      <c r="J167" s="9" t="s">
        <v>31</v>
      </c>
      <c r="K167" s="9">
        <v>5</v>
      </c>
      <c r="L167" s="9">
        <v>1</v>
      </c>
      <c r="M167" s="35">
        <v>1</v>
      </c>
      <c r="N167" s="27">
        <v>0</v>
      </c>
      <c r="O167" s="27">
        <v>0</v>
      </c>
    </row>
    <row r="168" ht="52.9" spans="1:15">
      <c r="A168" s="9">
        <v>167</v>
      </c>
      <c r="B168" s="9" t="s">
        <v>516</v>
      </c>
      <c r="C168" s="9">
        <v>1</v>
      </c>
      <c r="D168" s="9" t="s">
        <v>517</v>
      </c>
      <c r="E168" s="9">
        <v>85</v>
      </c>
      <c r="F168" s="9" t="s">
        <v>518</v>
      </c>
      <c r="G168" s="9">
        <f>3.5*3.2*3.2</f>
        <v>35.84</v>
      </c>
      <c r="H168" s="9">
        <f t="shared" si="2"/>
        <v>18.6368</v>
      </c>
      <c r="I168" s="9" t="s">
        <v>16</v>
      </c>
      <c r="J168" s="9" t="s">
        <v>17</v>
      </c>
      <c r="K168" s="9">
        <v>5</v>
      </c>
      <c r="L168" s="9">
        <v>1</v>
      </c>
      <c r="M168" s="35">
        <v>1</v>
      </c>
      <c r="N168" s="27">
        <v>0</v>
      </c>
      <c r="O168" s="27">
        <v>0</v>
      </c>
    </row>
    <row r="169" ht="176.25" spans="1:15">
      <c r="A169" s="9">
        <v>168</v>
      </c>
      <c r="B169" s="57" t="s">
        <v>519</v>
      </c>
      <c r="C169" s="9">
        <v>0</v>
      </c>
      <c r="D169" s="29" t="s">
        <v>520</v>
      </c>
      <c r="E169" s="29">
        <v>59</v>
      </c>
      <c r="F169" s="9" t="s">
        <v>521</v>
      </c>
      <c r="G169" s="9">
        <f>5.7*4.3*3.8</f>
        <v>93.138</v>
      </c>
      <c r="H169" s="9">
        <f t="shared" si="2"/>
        <v>48.43176</v>
      </c>
      <c r="I169" s="9" t="s">
        <v>20</v>
      </c>
      <c r="J169" s="9" t="s">
        <v>21</v>
      </c>
      <c r="K169" s="9">
        <v>2</v>
      </c>
      <c r="L169" s="9">
        <v>1</v>
      </c>
      <c r="M169" s="35">
        <v>1</v>
      </c>
      <c r="N169" s="27">
        <v>0</v>
      </c>
      <c r="O169" s="27">
        <v>0</v>
      </c>
    </row>
    <row r="170" ht="88.15" spans="1:15">
      <c r="A170" s="9">
        <v>169</v>
      </c>
      <c r="B170" s="9" t="s">
        <v>522</v>
      </c>
      <c r="C170" s="9">
        <v>1</v>
      </c>
      <c r="D170" s="9" t="s">
        <v>523</v>
      </c>
      <c r="E170" s="9">
        <v>87</v>
      </c>
      <c r="F170" s="9" t="s">
        <v>524</v>
      </c>
      <c r="G170" s="9">
        <f>4.6*4.2*4.2</f>
        <v>81.144</v>
      </c>
      <c r="H170" s="9">
        <f t="shared" si="2"/>
        <v>42.19488</v>
      </c>
      <c r="I170" s="9" t="s">
        <v>38</v>
      </c>
      <c r="J170" s="9" t="s">
        <v>39</v>
      </c>
      <c r="K170" s="9">
        <v>10</v>
      </c>
      <c r="L170" s="9">
        <v>1</v>
      </c>
      <c r="M170" s="35">
        <v>1</v>
      </c>
      <c r="N170" s="27">
        <v>0</v>
      </c>
      <c r="O170" s="27">
        <v>0</v>
      </c>
    </row>
    <row r="171" ht="105.75" spans="1:15">
      <c r="A171" s="9">
        <v>170</v>
      </c>
      <c r="B171" s="57" t="s">
        <v>525</v>
      </c>
      <c r="C171" s="9">
        <v>0</v>
      </c>
      <c r="D171" s="29" t="s">
        <v>526</v>
      </c>
      <c r="E171" s="29">
        <v>73</v>
      </c>
      <c r="F171" s="9" t="s">
        <v>527</v>
      </c>
      <c r="G171" s="9">
        <f>6*3.6*2.4</f>
        <v>51.84</v>
      </c>
      <c r="H171" s="9">
        <f t="shared" si="2"/>
        <v>26.9568</v>
      </c>
      <c r="I171" s="9" t="s">
        <v>20</v>
      </c>
      <c r="J171" s="9" t="s">
        <v>21</v>
      </c>
      <c r="K171" s="9">
        <v>1</v>
      </c>
      <c r="L171" s="9">
        <v>1</v>
      </c>
      <c r="M171" s="35">
        <v>1</v>
      </c>
      <c r="N171" s="27">
        <v>0</v>
      </c>
      <c r="O171" s="27">
        <v>0</v>
      </c>
    </row>
    <row r="172" ht="141" spans="1:15">
      <c r="A172" s="9">
        <v>171</v>
      </c>
      <c r="B172" s="57" t="s">
        <v>528</v>
      </c>
      <c r="C172" s="9">
        <v>1</v>
      </c>
      <c r="D172" s="29" t="s">
        <v>529</v>
      </c>
      <c r="E172" s="29">
        <v>85</v>
      </c>
      <c r="F172" s="9" t="s">
        <v>530</v>
      </c>
      <c r="G172" s="9">
        <f>5.8*6.1*4.9</f>
        <v>173.362</v>
      </c>
      <c r="H172" s="9">
        <f t="shared" si="2"/>
        <v>90.14824</v>
      </c>
      <c r="I172" s="9" t="s">
        <v>26</v>
      </c>
      <c r="J172" s="9" t="s">
        <v>27</v>
      </c>
      <c r="K172" s="9">
        <v>10</v>
      </c>
      <c r="L172" s="9">
        <v>1</v>
      </c>
      <c r="M172" s="35">
        <v>1</v>
      </c>
      <c r="N172" s="27">
        <v>0</v>
      </c>
      <c r="O172" s="27">
        <v>0</v>
      </c>
    </row>
    <row r="173" ht="35.25" spans="1:15">
      <c r="A173" s="9">
        <v>172</v>
      </c>
      <c r="B173" s="57" t="s">
        <v>531</v>
      </c>
      <c r="C173" s="9">
        <v>1</v>
      </c>
      <c r="D173" s="29" t="s">
        <v>532</v>
      </c>
      <c r="E173" s="29">
        <v>67</v>
      </c>
      <c r="F173" s="9" t="s">
        <v>533</v>
      </c>
      <c r="G173" s="9">
        <f>4.7*4.6*3.9</f>
        <v>84.318</v>
      </c>
      <c r="H173" s="9">
        <f t="shared" si="2"/>
        <v>43.84536</v>
      </c>
      <c r="I173" s="9" t="s">
        <v>16</v>
      </c>
      <c r="J173" s="9" t="s">
        <v>17</v>
      </c>
      <c r="K173" s="9">
        <v>15</v>
      </c>
      <c r="L173" s="9">
        <v>1</v>
      </c>
      <c r="M173" s="35">
        <v>1</v>
      </c>
      <c r="N173" s="27">
        <v>0</v>
      </c>
      <c r="O173" s="27">
        <v>0</v>
      </c>
    </row>
    <row r="174" ht="70.5" spans="1:15">
      <c r="A174" s="9">
        <v>173</v>
      </c>
      <c r="B174" s="57" t="s">
        <v>534</v>
      </c>
      <c r="C174" s="9">
        <v>1</v>
      </c>
      <c r="D174" s="29" t="s">
        <v>535</v>
      </c>
      <c r="E174" s="29">
        <v>87</v>
      </c>
      <c r="F174" s="9" t="s">
        <v>536</v>
      </c>
      <c r="G174" s="9">
        <f>6*5.9*5.2</f>
        <v>184.08</v>
      </c>
      <c r="H174" s="9">
        <f t="shared" si="2"/>
        <v>95.7216</v>
      </c>
      <c r="I174" s="9" t="s">
        <v>144</v>
      </c>
      <c r="J174" s="9" t="s">
        <v>27</v>
      </c>
      <c r="K174" s="9">
        <v>3</v>
      </c>
      <c r="L174" s="9">
        <v>1</v>
      </c>
      <c r="M174" s="35">
        <v>1</v>
      </c>
      <c r="N174" s="27">
        <v>0</v>
      </c>
      <c r="O174" s="27">
        <v>0</v>
      </c>
    </row>
    <row r="175" ht="35.25" spans="1:15">
      <c r="A175" s="9">
        <v>174</v>
      </c>
      <c r="B175" s="57" t="s">
        <v>537</v>
      </c>
      <c r="C175" s="9">
        <v>1</v>
      </c>
      <c r="D175" s="29" t="s">
        <v>538</v>
      </c>
      <c r="E175" s="29">
        <v>69</v>
      </c>
      <c r="F175" s="9" t="s">
        <v>539</v>
      </c>
      <c r="G175" s="9">
        <f>4.9*5.1*4.3</f>
        <v>107.457</v>
      </c>
      <c r="H175" s="9">
        <f t="shared" si="2"/>
        <v>55.87764</v>
      </c>
      <c r="I175" s="9" t="s">
        <v>26</v>
      </c>
      <c r="J175" s="9" t="s">
        <v>27</v>
      </c>
      <c r="K175" s="9">
        <v>5</v>
      </c>
      <c r="L175" s="9">
        <v>1</v>
      </c>
      <c r="M175" s="35">
        <v>1</v>
      </c>
      <c r="N175" s="27">
        <v>0</v>
      </c>
      <c r="O175" s="27">
        <v>1</v>
      </c>
    </row>
    <row r="176" ht="123.4" spans="1:15">
      <c r="A176" s="9">
        <v>175</v>
      </c>
      <c r="B176" s="57" t="s">
        <v>540</v>
      </c>
      <c r="C176" s="9">
        <v>1</v>
      </c>
      <c r="D176" s="29" t="s">
        <v>541</v>
      </c>
      <c r="E176" s="29">
        <v>79</v>
      </c>
      <c r="F176" s="9" t="s">
        <v>542</v>
      </c>
      <c r="G176" s="9">
        <f>5.7*4.7*5.1</f>
        <v>136.629</v>
      </c>
      <c r="H176" s="9">
        <f t="shared" si="2"/>
        <v>71.04708</v>
      </c>
      <c r="I176" s="9" t="s">
        <v>16</v>
      </c>
      <c r="J176" s="9" t="s">
        <v>17</v>
      </c>
      <c r="K176" s="9">
        <v>20</v>
      </c>
      <c r="L176" s="9">
        <v>1</v>
      </c>
      <c r="M176" s="35">
        <v>1</v>
      </c>
      <c r="N176" s="27">
        <v>0</v>
      </c>
      <c r="O176" s="27">
        <v>0</v>
      </c>
    </row>
    <row r="177" ht="70.5" spans="1:15">
      <c r="A177" s="9">
        <v>176</v>
      </c>
      <c r="B177" s="57" t="s">
        <v>543</v>
      </c>
      <c r="C177" s="9">
        <v>1</v>
      </c>
      <c r="D177" s="29" t="s">
        <v>544</v>
      </c>
      <c r="E177" s="29">
        <v>65</v>
      </c>
      <c r="F177" s="9" t="s">
        <v>545</v>
      </c>
      <c r="G177" s="9">
        <f>4.7*3.4*4.2</f>
        <v>67.116</v>
      </c>
      <c r="H177" s="9">
        <f t="shared" si="2"/>
        <v>34.90032</v>
      </c>
      <c r="I177" s="9" t="s">
        <v>30</v>
      </c>
      <c r="J177" s="9" t="s">
        <v>31</v>
      </c>
      <c r="K177" s="9">
        <v>3</v>
      </c>
      <c r="L177" s="9">
        <v>1</v>
      </c>
      <c r="M177" s="35">
        <v>1</v>
      </c>
      <c r="N177" s="27">
        <v>0</v>
      </c>
      <c r="O177" s="27">
        <v>0</v>
      </c>
    </row>
    <row r="178" ht="52.9" spans="1:15">
      <c r="A178" s="9">
        <v>177</v>
      </c>
      <c r="B178" s="56" t="s">
        <v>546</v>
      </c>
      <c r="C178" s="9">
        <v>1</v>
      </c>
      <c r="D178" s="9" t="s">
        <v>547</v>
      </c>
      <c r="E178" s="9">
        <v>72</v>
      </c>
      <c r="F178" s="9" t="s">
        <v>548</v>
      </c>
      <c r="G178" s="9">
        <f>4.5*3.5</f>
        <v>15.75</v>
      </c>
      <c r="H178" s="9">
        <f t="shared" si="2"/>
        <v>8.19</v>
      </c>
      <c r="I178" s="9" t="s">
        <v>30</v>
      </c>
      <c r="J178" s="9" t="s">
        <v>31</v>
      </c>
      <c r="K178" s="9">
        <v>5</v>
      </c>
      <c r="L178" s="9">
        <v>1</v>
      </c>
      <c r="M178" s="35">
        <v>1</v>
      </c>
      <c r="N178" s="27">
        <v>0</v>
      </c>
      <c r="O178" s="27">
        <v>0</v>
      </c>
    </row>
    <row r="179" ht="88.15" spans="1:15">
      <c r="A179" s="9">
        <v>178</v>
      </c>
      <c r="B179" s="9" t="s">
        <v>549</v>
      </c>
      <c r="C179" s="9">
        <v>1</v>
      </c>
      <c r="D179" s="9" t="s">
        <v>550</v>
      </c>
      <c r="E179" s="9">
        <v>52</v>
      </c>
      <c r="F179" s="9" t="s">
        <v>551</v>
      </c>
      <c r="G179" s="9">
        <f>4.5*4.2*4.3</f>
        <v>81.27</v>
      </c>
      <c r="H179" s="9">
        <f t="shared" si="2"/>
        <v>42.2604</v>
      </c>
      <c r="I179" s="9" t="s">
        <v>16</v>
      </c>
      <c r="J179" s="9" t="s">
        <v>17</v>
      </c>
      <c r="K179" s="9">
        <v>30</v>
      </c>
      <c r="L179" s="9">
        <v>1</v>
      </c>
      <c r="M179" s="35">
        <v>1</v>
      </c>
      <c r="N179" s="27">
        <v>0</v>
      </c>
      <c r="O179" s="27">
        <v>0</v>
      </c>
    </row>
    <row r="180" ht="70.5" spans="1:15">
      <c r="A180" s="9">
        <v>179</v>
      </c>
      <c r="B180" s="57" t="s">
        <v>552</v>
      </c>
      <c r="C180" s="9">
        <v>1</v>
      </c>
      <c r="D180" s="29" t="s">
        <v>553</v>
      </c>
      <c r="E180" s="29">
        <v>80</v>
      </c>
      <c r="F180" s="9" t="s">
        <v>554</v>
      </c>
      <c r="G180" s="9">
        <f>5.1*5.2*5.3</f>
        <v>140.556</v>
      </c>
      <c r="H180" s="9">
        <f t="shared" si="2"/>
        <v>73.08912</v>
      </c>
      <c r="I180" s="9" t="s">
        <v>16</v>
      </c>
      <c r="J180" s="9" t="s">
        <v>17</v>
      </c>
      <c r="K180" s="9">
        <v>3</v>
      </c>
      <c r="L180" s="9">
        <v>1</v>
      </c>
      <c r="M180" s="35">
        <v>1</v>
      </c>
      <c r="N180" s="27">
        <v>0</v>
      </c>
      <c r="O180" s="27">
        <v>0</v>
      </c>
    </row>
    <row r="181" s="21" customFormat="1" ht="35.25" spans="1:15">
      <c r="A181" s="9">
        <v>180</v>
      </c>
      <c r="B181" s="57" t="s">
        <v>555</v>
      </c>
      <c r="C181" s="9">
        <v>1</v>
      </c>
      <c r="D181" s="29" t="s">
        <v>556</v>
      </c>
      <c r="E181" s="29">
        <v>75</v>
      </c>
      <c r="F181" s="9" t="s">
        <v>557</v>
      </c>
      <c r="G181" s="9">
        <f>4.7*3.5*4.7</f>
        <v>77.315</v>
      </c>
      <c r="H181" s="9">
        <f t="shared" si="2"/>
        <v>40.2038</v>
      </c>
      <c r="I181" s="9" t="s">
        <v>30</v>
      </c>
      <c r="J181" s="9" t="s">
        <v>31</v>
      </c>
      <c r="K181" s="9">
        <v>5</v>
      </c>
      <c r="L181" s="9">
        <v>1</v>
      </c>
      <c r="M181" s="35">
        <v>1</v>
      </c>
      <c r="N181" s="27">
        <v>0</v>
      </c>
      <c r="O181" s="27">
        <v>0</v>
      </c>
    </row>
    <row r="182" ht="88.15" spans="1:15">
      <c r="A182" s="9">
        <v>181</v>
      </c>
      <c r="B182" s="56" t="s">
        <v>558</v>
      </c>
      <c r="C182" s="9">
        <v>1</v>
      </c>
      <c r="D182" s="9" t="s">
        <v>559</v>
      </c>
      <c r="E182" s="9">
        <v>75</v>
      </c>
      <c r="F182" s="9" t="s">
        <v>560</v>
      </c>
      <c r="G182" s="9">
        <f>4.7*3*2.7</f>
        <v>38.07</v>
      </c>
      <c r="H182" s="9">
        <f t="shared" si="2"/>
        <v>19.7964</v>
      </c>
      <c r="I182" s="9" t="s">
        <v>85</v>
      </c>
      <c r="J182" s="9" t="s">
        <v>39</v>
      </c>
      <c r="K182" s="9">
        <v>2</v>
      </c>
      <c r="L182" s="9">
        <v>1</v>
      </c>
      <c r="M182" s="35">
        <v>1</v>
      </c>
      <c r="N182" s="27">
        <v>0</v>
      </c>
      <c r="O182" s="27">
        <v>0</v>
      </c>
    </row>
    <row r="183" ht="88.15" spans="1:15">
      <c r="A183" s="9">
        <v>182</v>
      </c>
      <c r="B183" s="58" t="s">
        <v>561</v>
      </c>
      <c r="C183" s="9">
        <v>1</v>
      </c>
      <c r="D183" s="8" t="s">
        <v>562</v>
      </c>
      <c r="E183" s="29">
        <v>78</v>
      </c>
      <c r="F183" s="9" t="s">
        <v>563</v>
      </c>
      <c r="G183" s="9">
        <f>5.4*4.6*4.1</f>
        <v>101.844</v>
      </c>
      <c r="H183" s="9">
        <f t="shared" si="2"/>
        <v>52.95888</v>
      </c>
      <c r="I183" s="9" t="s">
        <v>16</v>
      </c>
      <c r="J183" s="9">
        <v>3</v>
      </c>
      <c r="K183" s="9">
        <v>1</v>
      </c>
      <c r="L183" s="9">
        <v>1</v>
      </c>
      <c r="M183" s="35">
        <v>1</v>
      </c>
      <c r="N183" s="27">
        <v>0</v>
      </c>
      <c r="O183" s="27">
        <v>1</v>
      </c>
    </row>
    <row r="184" s="21" customFormat="1" ht="52.9" spans="1:15">
      <c r="A184" s="9">
        <v>183</v>
      </c>
      <c r="B184" s="57" t="s">
        <v>564</v>
      </c>
      <c r="C184" s="9">
        <v>1</v>
      </c>
      <c r="D184" s="29" t="s">
        <v>565</v>
      </c>
      <c r="E184" s="29">
        <v>66</v>
      </c>
      <c r="F184" s="9" t="s">
        <v>566</v>
      </c>
      <c r="G184" s="9">
        <f>4.9*4.2*3.1</f>
        <v>63.798</v>
      </c>
      <c r="H184" s="9">
        <f t="shared" si="2"/>
        <v>33.17496</v>
      </c>
      <c r="I184" s="9" t="s">
        <v>38</v>
      </c>
      <c r="J184" s="9" t="s">
        <v>39</v>
      </c>
      <c r="K184" s="9">
        <v>5</v>
      </c>
      <c r="L184" s="9">
        <v>1</v>
      </c>
      <c r="M184" s="35">
        <v>1</v>
      </c>
      <c r="N184" s="27">
        <v>0</v>
      </c>
      <c r="O184" s="27">
        <v>0</v>
      </c>
    </row>
    <row r="185" ht="88.15" spans="1:15">
      <c r="A185" s="9">
        <v>184</v>
      </c>
      <c r="B185" s="57" t="s">
        <v>567</v>
      </c>
      <c r="C185" s="9">
        <v>0</v>
      </c>
      <c r="D185" s="29" t="s">
        <v>568</v>
      </c>
      <c r="E185" s="29">
        <v>71</v>
      </c>
      <c r="F185" s="9" t="s">
        <v>569</v>
      </c>
      <c r="G185" s="9">
        <f>5.8*4.1*4.9</f>
        <v>116.522</v>
      </c>
      <c r="H185" s="9">
        <f t="shared" si="2"/>
        <v>60.59144</v>
      </c>
      <c r="I185" s="9" t="s">
        <v>20</v>
      </c>
      <c r="J185" s="9" t="s">
        <v>39</v>
      </c>
      <c r="K185" s="9">
        <v>2</v>
      </c>
      <c r="L185" s="9">
        <v>1</v>
      </c>
      <c r="M185" s="35">
        <v>1</v>
      </c>
      <c r="N185" s="27">
        <v>0</v>
      </c>
      <c r="O185" s="27">
        <v>0</v>
      </c>
    </row>
    <row r="186" s="21" customFormat="1" ht="105.75" spans="1:15">
      <c r="A186" s="9">
        <v>185</v>
      </c>
      <c r="B186" s="57" t="s">
        <v>570</v>
      </c>
      <c r="C186" s="9">
        <v>1</v>
      </c>
      <c r="D186" s="29" t="s">
        <v>571</v>
      </c>
      <c r="E186" s="29">
        <v>81</v>
      </c>
      <c r="F186" s="9" t="s">
        <v>572</v>
      </c>
      <c r="G186" s="9">
        <f>6.1*5*6.7</f>
        <v>204.35</v>
      </c>
      <c r="H186" s="9">
        <f t="shared" si="2"/>
        <v>106.262</v>
      </c>
      <c r="I186" s="9" t="s">
        <v>30</v>
      </c>
      <c r="J186" s="9" t="s">
        <v>31</v>
      </c>
      <c r="K186" s="9">
        <v>10</v>
      </c>
      <c r="L186" s="9">
        <v>1</v>
      </c>
      <c r="M186" s="35">
        <v>1</v>
      </c>
      <c r="N186" s="27">
        <v>0</v>
      </c>
      <c r="O186" s="27">
        <v>0</v>
      </c>
    </row>
    <row r="187" ht="35.25" spans="1:15">
      <c r="A187" s="9">
        <v>186</v>
      </c>
      <c r="B187" s="57" t="s">
        <v>573</v>
      </c>
      <c r="C187" s="9">
        <v>1</v>
      </c>
      <c r="D187" s="29" t="s">
        <v>574</v>
      </c>
      <c r="E187" s="29">
        <v>66</v>
      </c>
      <c r="F187" s="9" t="s">
        <v>575</v>
      </c>
      <c r="G187" s="9">
        <f>5.1*3.7*3.6</f>
        <v>67.932</v>
      </c>
      <c r="H187" s="9">
        <f t="shared" si="2"/>
        <v>35.32464</v>
      </c>
      <c r="I187" s="29" t="s">
        <v>16</v>
      </c>
      <c r="J187" s="9" t="s">
        <v>17</v>
      </c>
      <c r="K187" s="29">
        <v>4</v>
      </c>
      <c r="L187" s="29">
        <v>1</v>
      </c>
      <c r="M187" s="45">
        <v>1</v>
      </c>
      <c r="N187" s="27">
        <v>0</v>
      </c>
      <c r="O187" s="27">
        <v>0</v>
      </c>
    </row>
    <row r="188" ht="52.9" spans="1:15">
      <c r="A188" s="9">
        <v>187</v>
      </c>
      <c r="B188" s="9" t="s">
        <v>576</v>
      </c>
      <c r="C188" s="9">
        <v>1</v>
      </c>
      <c r="D188" s="9" t="s">
        <v>577</v>
      </c>
      <c r="E188" s="9">
        <v>72</v>
      </c>
      <c r="F188" s="9" t="s">
        <v>578</v>
      </c>
      <c r="G188" s="9">
        <f>4.3*3.2*4.3</f>
        <v>59.168</v>
      </c>
      <c r="H188" s="9">
        <f t="shared" si="2"/>
        <v>30.76736</v>
      </c>
      <c r="I188" s="9" t="s">
        <v>30</v>
      </c>
      <c r="J188" s="9" t="s">
        <v>31</v>
      </c>
      <c r="K188" s="9">
        <v>5</v>
      </c>
      <c r="L188" s="9">
        <v>1</v>
      </c>
      <c r="M188" s="35">
        <v>1</v>
      </c>
      <c r="N188" s="27">
        <v>0</v>
      </c>
      <c r="O188" s="27">
        <v>1</v>
      </c>
    </row>
    <row r="189" ht="70.5" spans="1:15">
      <c r="A189" s="9">
        <v>188</v>
      </c>
      <c r="B189" s="57" t="s">
        <v>579</v>
      </c>
      <c r="C189" s="9">
        <v>1</v>
      </c>
      <c r="D189" s="29" t="s">
        <v>580</v>
      </c>
      <c r="E189" s="29">
        <v>71</v>
      </c>
      <c r="F189" s="9" t="s">
        <v>581</v>
      </c>
      <c r="G189" s="9">
        <f>4.6*3.3*3.1</f>
        <v>47.058</v>
      </c>
      <c r="H189" s="9">
        <f t="shared" si="2"/>
        <v>24.47016</v>
      </c>
      <c r="I189" s="9" t="s">
        <v>30</v>
      </c>
      <c r="J189" s="9" t="s">
        <v>31</v>
      </c>
      <c r="K189" s="9">
        <v>15</v>
      </c>
      <c r="L189" s="9">
        <v>1</v>
      </c>
      <c r="M189" s="35">
        <v>1</v>
      </c>
      <c r="N189" s="27">
        <v>0</v>
      </c>
      <c r="O189" s="27">
        <v>0</v>
      </c>
    </row>
    <row r="190" ht="70.5" spans="1:15">
      <c r="A190" s="9">
        <v>189</v>
      </c>
      <c r="B190" s="57" t="s">
        <v>582</v>
      </c>
      <c r="C190" s="9">
        <v>1</v>
      </c>
      <c r="D190" s="29" t="s">
        <v>583</v>
      </c>
      <c r="E190" s="29">
        <v>67</v>
      </c>
      <c r="F190" s="9" t="s">
        <v>584</v>
      </c>
      <c r="G190" s="9">
        <f>4.2*4.8*3.9</f>
        <v>78.624</v>
      </c>
      <c r="H190" s="9">
        <f t="shared" si="2"/>
        <v>40.88448</v>
      </c>
      <c r="I190" s="9" t="s">
        <v>16</v>
      </c>
      <c r="J190" s="9" t="s">
        <v>17</v>
      </c>
      <c r="K190" s="9">
        <v>3</v>
      </c>
      <c r="L190" s="9">
        <v>1</v>
      </c>
      <c r="M190" s="35">
        <v>1</v>
      </c>
      <c r="N190" s="27">
        <v>0</v>
      </c>
      <c r="O190" s="27">
        <v>0</v>
      </c>
    </row>
    <row r="191" ht="88.15" spans="1:15">
      <c r="A191" s="9">
        <v>190</v>
      </c>
      <c r="B191" s="56" t="s">
        <v>585</v>
      </c>
      <c r="C191" s="9">
        <v>1</v>
      </c>
      <c r="D191" s="9" t="s">
        <v>586</v>
      </c>
      <c r="E191" s="9">
        <v>67</v>
      </c>
      <c r="F191" s="9" t="s">
        <v>587</v>
      </c>
      <c r="G191" s="9">
        <f>5.1*3.1*3.5</f>
        <v>55.335</v>
      </c>
      <c r="H191" s="9">
        <f t="shared" si="2"/>
        <v>28.7742</v>
      </c>
      <c r="I191" s="9" t="s">
        <v>38</v>
      </c>
      <c r="J191" s="9" t="s">
        <v>39</v>
      </c>
      <c r="K191" s="9">
        <v>5</v>
      </c>
      <c r="L191" s="9">
        <v>1</v>
      </c>
      <c r="M191" s="35">
        <v>1</v>
      </c>
      <c r="N191" s="27">
        <v>0</v>
      </c>
      <c r="O191" s="27">
        <v>0</v>
      </c>
    </row>
    <row r="192" ht="88.15" spans="1:15">
      <c r="A192" s="9">
        <v>191</v>
      </c>
      <c r="B192" s="57" t="s">
        <v>588</v>
      </c>
      <c r="C192" s="9">
        <v>0</v>
      </c>
      <c r="D192" s="29" t="s">
        <v>589</v>
      </c>
      <c r="E192" s="29">
        <v>78</v>
      </c>
      <c r="F192" s="9" t="s">
        <v>590</v>
      </c>
      <c r="G192" s="9">
        <f>5.7*4.3*4.1</f>
        <v>100.491</v>
      </c>
      <c r="H192" s="9">
        <f t="shared" si="2"/>
        <v>52.25532</v>
      </c>
      <c r="I192" s="9" t="s">
        <v>20</v>
      </c>
      <c r="J192" s="9" t="s">
        <v>21</v>
      </c>
      <c r="K192" s="9">
        <v>10</v>
      </c>
      <c r="L192" s="9">
        <v>1</v>
      </c>
      <c r="M192" s="35">
        <v>1</v>
      </c>
      <c r="N192" s="27">
        <v>0</v>
      </c>
      <c r="O192" s="27">
        <v>0</v>
      </c>
    </row>
    <row r="193" ht="35.25" spans="1:15">
      <c r="A193" s="9">
        <v>192</v>
      </c>
      <c r="B193" s="57" t="s">
        <v>591</v>
      </c>
      <c r="C193" s="9">
        <v>1</v>
      </c>
      <c r="D193" s="29" t="s">
        <v>592</v>
      </c>
      <c r="E193" s="29">
        <v>69</v>
      </c>
      <c r="F193" s="9" t="s">
        <v>593</v>
      </c>
      <c r="G193" s="9">
        <f>4.5*3.5*4.1</f>
        <v>64.575</v>
      </c>
      <c r="H193" s="9">
        <f t="shared" si="2"/>
        <v>33.579</v>
      </c>
      <c r="I193" s="29" t="s">
        <v>16</v>
      </c>
      <c r="J193" s="9" t="s">
        <v>17</v>
      </c>
      <c r="K193" s="9">
        <v>2</v>
      </c>
      <c r="L193" s="9">
        <v>0</v>
      </c>
      <c r="M193" s="35">
        <v>1</v>
      </c>
      <c r="N193" s="27">
        <v>0</v>
      </c>
      <c r="O193" s="27">
        <v>0</v>
      </c>
    </row>
    <row r="194" s="4" customFormat="1" ht="34.95" customHeight="1" spans="1:15">
      <c r="A194" s="9">
        <v>193</v>
      </c>
      <c r="B194" s="57" t="s">
        <v>594</v>
      </c>
      <c r="C194" s="9">
        <v>1</v>
      </c>
      <c r="D194" s="29" t="s">
        <v>595</v>
      </c>
      <c r="E194" s="29">
        <v>76</v>
      </c>
      <c r="F194" s="9" t="s">
        <v>596</v>
      </c>
      <c r="G194" s="9">
        <f>4.5*4*5</f>
        <v>90</v>
      </c>
      <c r="H194" s="9">
        <f t="shared" si="2"/>
        <v>46.8</v>
      </c>
      <c r="I194" s="9" t="s">
        <v>38</v>
      </c>
      <c r="J194" s="9" t="s">
        <v>39</v>
      </c>
      <c r="K194" s="9">
        <v>5</v>
      </c>
      <c r="L194" s="9">
        <v>1</v>
      </c>
      <c r="M194" s="35">
        <v>1</v>
      </c>
      <c r="N194" s="46">
        <v>0</v>
      </c>
      <c r="O194" s="47">
        <v>0</v>
      </c>
    </row>
    <row r="195" s="4" customFormat="1" ht="34.95" customHeight="1" spans="1:15">
      <c r="A195" s="9"/>
      <c r="B195" s="29"/>
      <c r="C195" s="9"/>
      <c r="D195" s="29"/>
      <c r="E195" s="29"/>
      <c r="F195" s="9"/>
      <c r="G195" s="9"/>
      <c r="H195" s="9">
        <f>G195*0.52</f>
        <v>0</v>
      </c>
      <c r="I195" s="9"/>
      <c r="J195" s="9"/>
      <c r="K195" s="48"/>
      <c r="L195" s="48"/>
      <c r="M195" s="48"/>
      <c r="N195" s="49"/>
      <c r="O195" s="50"/>
    </row>
    <row r="196" ht="34.95" customHeight="1" spans="1:21">
      <c r="A196" s="9">
        <v>194</v>
      </c>
      <c r="B196" s="57" t="s">
        <v>597</v>
      </c>
      <c r="C196" s="29">
        <v>1</v>
      </c>
      <c r="D196" s="29" t="s">
        <v>598</v>
      </c>
      <c r="E196" s="29">
        <v>74</v>
      </c>
      <c r="F196" s="29" t="s">
        <v>599</v>
      </c>
      <c r="G196" s="29">
        <v>142.272</v>
      </c>
      <c r="H196" s="9">
        <f>G196*0.52</f>
        <v>73.98144</v>
      </c>
      <c r="I196" s="29" t="s">
        <v>16</v>
      </c>
      <c r="J196" s="29">
        <v>3</v>
      </c>
      <c r="K196" s="9">
        <v>20</v>
      </c>
      <c r="L196" s="9">
        <v>1</v>
      </c>
      <c r="M196" s="9">
        <v>1</v>
      </c>
      <c r="N196" s="9">
        <v>0</v>
      </c>
      <c r="O196" s="9">
        <v>1</v>
      </c>
      <c r="P196" s="51"/>
      <c r="Q196" s="51"/>
      <c r="R196" s="51"/>
      <c r="S196" s="51"/>
      <c r="T196" s="51"/>
      <c r="U196" s="53"/>
    </row>
    <row r="197" ht="34.95" customHeight="1" spans="1:21">
      <c r="A197" s="9">
        <v>195</v>
      </c>
      <c r="B197" s="57" t="s">
        <v>600</v>
      </c>
      <c r="C197" s="29">
        <v>1</v>
      </c>
      <c r="D197" s="29" t="s">
        <v>601</v>
      </c>
      <c r="E197" s="29">
        <v>72</v>
      </c>
      <c r="F197" s="29" t="s">
        <v>602</v>
      </c>
      <c r="G197" s="29">
        <v>72.52</v>
      </c>
      <c r="H197" s="9">
        <f>G197*0.52</f>
        <v>37.7104</v>
      </c>
      <c r="I197" s="29" t="s">
        <v>26</v>
      </c>
      <c r="J197" s="29">
        <v>4</v>
      </c>
      <c r="K197" s="9">
        <v>2</v>
      </c>
      <c r="L197" s="9">
        <v>0</v>
      </c>
      <c r="M197" s="9">
        <v>0</v>
      </c>
      <c r="N197" s="9">
        <v>0</v>
      </c>
      <c r="O197" s="9">
        <v>0</v>
      </c>
      <c r="P197" s="51"/>
      <c r="Q197" s="51"/>
      <c r="R197" s="51"/>
      <c r="S197" s="51"/>
      <c r="T197" s="51"/>
      <c r="U197" s="53"/>
    </row>
    <row r="198" ht="34.95" customHeight="1" spans="1:21">
      <c r="A198" s="9">
        <v>196</v>
      </c>
      <c r="B198" s="57" t="s">
        <v>603</v>
      </c>
      <c r="C198" s="29">
        <v>1</v>
      </c>
      <c r="D198" s="29" t="s">
        <v>604</v>
      </c>
      <c r="E198" s="29">
        <v>70</v>
      </c>
      <c r="F198" s="29" t="s">
        <v>605</v>
      </c>
      <c r="G198" s="29">
        <v>54.945</v>
      </c>
      <c r="H198" s="9">
        <f t="shared" ref="H198:H206" si="3">G198*0.52</f>
        <v>28.5714</v>
      </c>
      <c r="I198" s="29" t="s">
        <v>30</v>
      </c>
      <c r="J198" s="29">
        <v>2</v>
      </c>
      <c r="K198" s="9">
        <v>3</v>
      </c>
      <c r="L198" s="9">
        <v>1</v>
      </c>
      <c r="M198" s="9">
        <v>1</v>
      </c>
      <c r="N198" s="9">
        <v>0</v>
      </c>
      <c r="O198" s="9">
        <v>0</v>
      </c>
      <c r="P198" s="51"/>
      <c r="Q198" s="51"/>
      <c r="R198" s="51"/>
      <c r="S198" s="51"/>
      <c r="T198" s="51"/>
      <c r="U198" s="53"/>
    </row>
    <row r="199" ht="34.95" customHeight="1" spans="1:21">
      <c r="A199" s="9">
        <v>197</v>
      </c>
      <c r="B199" s="57" t="s">
        <v>606</v>
      </c>
      <c r="C199" s="29">
        <v>1</v>
      </c>
      <c r="D199" s="29" t="s">
        <v>607</v>
      </c>
      <c r="E199" s="29">
        <v>70</v>
      </c>
      <c r="F199" s="29" t="s">
        <v>608</v>
      </c>
      <c r="G199" s="29">
        <v>61.56</v>
      </c>
      <c r="H199" s="9">
        <f t="shared" si="3"/>
        <v>32.0112</v>
      </c>
      <c r="I199" s="29" t="s">
        <v>16</v>
      </c>
      <c r="J199" s="29">
        <v>3</v>
      </c>
      <c r="K199" s="9">
        <v>5</v>
      </c>
      <c r="L199" s="9">
        <v>1</v>
      </c>
      <c r="M199" s="9">
        <v>1</v>
      </c>
      <c r="N199" s="9">
        <v>0</v>
      </c>
      <c r="O199" s="9">
        <v>0</v>
      </c>
      <c r="P199" s="51"/>
      <c r="Q199" s="51"/>
      <c r="R199" s="51"/>
      <c r="S199" s="51"/>
      <c r="T199" s="51"/>
      <c r="U199" s="53"/>
    </row>
    <row r="200" ht="34.95" customHeight="1" spans="1:21">
      <c r="A200" s="9">
        <v>198</v>
      </c>
      <c r="B200" s="57" t="s">
        <v>609</v>
      </c>
      <c r="C200" s="29">
        <v>1</v>
      </c>
      <c r="D200" s="29" t="s">
        <v>610</v>
      </c>
      <c r="E200" s="29">
        <v>77</v>
      </c>
      <c r="F200" s="29" t="s">
        <v>611</v>
      </c>
      <c r="G200" s="29">
        <v>94.752</v>
      </c>
      <c r="H200" s="9">
        <f t="shared" si="3"/>
        <v>49.27104</v>
      </c>
      <c r="I200" s="29" t="s">
        <v>38</v>
      </c>
      <c r="J200" s="29">
        <v>5</v>
      </c>
      <c r="K200" s="9">
        <v>10</v>
      </c>
      <c r="L200" s="9">
        <v>0</v>
      </c>
      <c r="M200" s="9">
        <v>0</v>
      </c>
      <c r="N200" s="9">
        <v>0</v>
      </c>
      <c r="O200" s="9">
        <v>1</v>
      </c>
      <c r="P200" s="51"/>
      <c r="Q200" s="51"/>
      <c r="R200" s="51"/>
      <c r="S200" s="51"/>
      <c r="T200" s="51"/>
      <c r="U200" s="53"/>
    </row>
    <row r="201" ht="34.95" customHeight="1" spans="1:21">
      <c r="A201" s="9">
        <v>199</v>
      </c>
      <c r="B201" s="57" t="s">
        <v>612</v>
      </c>
      <c r="C201" s="29">
        <v>1</v>
      </c>
      <c r="D201" s="29" t="s">
        <v>613</v>
      </c>
      <c r="E201" s="29">
        <v>74</v>
      </c>
      <c r="F201" s="29" t="s">
        <v>614</v>
      </c>
      <c r="G201" s="29">
        <v>267.786</v>
      </c>
      <c r="H201" s="9">
        <f t="shared" si="3"/>
        <v>139.24872</v>
      </c>
      <c r="I201" s="29" t="s">
        <v>16</v>
      </c>
      <c r="J201" s="29">
        <v>3</v>
      </c>
      <c r="K201" s="9">
        <v>5</v>
      </c>
      <c r="L201" s="9">
        <v>0</v>
      </c>
      <c r="M201" s="9">
        <v>0</v>
      </c>
      <c r="N201" s="9">
        <v>0</v>
      </c>
      <c r="O201" s="9">
        <v>0</v>
      </c>
      <c r="P201" s="51"/>
      <c r="Q201" s="51"/>
      <c r="R201" s="51"/>
      <c r="S201" s="51"/>
      <c r="T201" s="51"/>
      <c r="U201" s="53"/>
    </row>
    <row r="202" ht="34.95" customHeight="1" spans="1:21">
      <c r="A202" s="9">
        <v>200</v>
      </c>
      <c r="B202" s="57" t="s">
        <v>615</v>
      </c>
      <c r="C202" s="29">
        <v>1</v>
      </c>
      <c r="D202" s="29" t="s">
        <v>616</v>
      </c>
      <c r="E202" s="29">
        <v>72</v>
      </c>
      <c r="F202" s="29" t="s">
        <v>617</v>
      </c>
      <c r="G202" s="29">
        <v>293.76</v>
      </c>
      <c r="H202" s="9">
        <f t="shared" si="3"/>
        <v>152.7552</v>
      </c>
      <c r="I202" s="29" t="s">
        <v>30</v>
      </c>
      <c r="J202" s="29">
        <v>2</v>
      </c>
      <c r="K202" s="9">
        <v>5</v>
      </c>
      <c r="L202" s="9">
        <v>1</v>
      </c>
      <c r="M202" s="9">
        <v>1</v>
      </c>
      <c r="N202" s="9">
        <v>0</v>
      </c>
      <c r="O202" s="9">
        <v>0</v>
      </c>
      <c r="P202" s="51"/>
      <c r="Q202" s="51"/>
      <c r="R202" s="51"/>
      <c r="S202" s="51"/>
      <c r="T202" s="51"/>
      <c r="U202" s="53"/>
    </row>
    <row r="203" ht="34.95" customHeight="1" spans="1:21">
      <c r="A203" s="9">
        <v>201</v>
      </c>
      <c r="B203" s="57" t="s">
        <v>618</v>
      </c>
      <c r="C203" s="29">
        <v>1</v>
      </c>
      <c r="D203" s="29" t="s">
        <v>619</v>
      </c>
      <c r="E203" s="29">
        <v>82</v>
      </c>
      <c r="F203" s="29" t="s">
        <v>620</v>
      </c>
      <c r="G203" s="29">
        <v>186.496</v>
      </c>
      <c r="H203" s="9">
        <f t="shared" si="3"/>
        <v>96.97792</v>
      </c>
      <c r="I203" s="29" t="s">
        <v>30</v>
      </c>
      <c r="J203" s="29">
        <v>2</v>
      </c>
      <c r="K203" s="9">
        <v>4</v>
      </c>
      <c r="L203" s="9">
        <v>1</v>
      </c>
      <c r="M203" s="9">
        <v>0</v>
      </c>
      <c r="N203" s="9">
        <v>0</v>
      </c>
      <c r="O203" s="9">
        <v>0</v>
      </c>
      <c r="P203" s="51"/>
      <c r="Q203" s="51"/>
      <c r="R203" s="51"/>
      <c r="S203" s="51"/>
      <c r="T203" s="51"/>
      <c r="U203" s="53"/>
    </row>
    <row r="204" ht="34.95" customHeight="1" spans="1:21">
      <c r="A204" s="9">
        <v>202</v>
      </c>
      <c r="B204" s="57" t="s">
        <v>621</v>
      </c>
      <c r="C204" s="29">
        <v>0</v>
      </c>
      <c r="D204" s="29" t="s">
        <v>622</v>
      </c>
      <c r="E204" s="29">
        <v>74</v>
      </c>
      <c r="F204" s="29" t="s">
        <v>623</v>
      </c>
      <c r="G204" s="29">
        <v>69.36</v>
      </c>
      <c r="H204" s="9">
        <f t="shared" si="3"/>
        <v>36.0672</v>
      </c>
      <c r="I204" s="29" t="s">
        <v>20</v>
      </c>
      <c r="J204" s="29">
        <v>1</v>
      </c>
      <c r="K204" s="9">
        <v>2</v>
      </c>
      <c r="L204" s="9">
        <v>1</v>
      </c>
      <c r="M204" s="9">
        <v>1</v>
      </c>
      <c r="N204" s="9">
        <v>0</v>
      </c>
      <c r="O204" s="9">
        <v>0</v>
      </c>
      <c r="P204" s="51"/>
      <c r="Q204" s="51"/>
      <c r="R204" s="51"/>
      <c r="S204" s="51"/>
      <c r="T204" s="51"/>
      <c r="U204" s="53"/>
    </row>
    <row r="205" ht="34.95" customHeight="1" spans="1:21">
      <c r="A205" s="9">
        <v>203</v>
      </c>
      <c r="B205" s="57" t="s">
        <v>624</v>
      </c>
      <c r="C205" s="29">
        <v>1</v>
      </c>
      <c r="D205" s="29" t="s">
        <v>625</v>
      </c>
      <c r="E205" s="29">
        <v>69</v>
      </c>
      <c r="F205" s="29" t="s">
        <v>626</v>
      </c>
      <c r="G205" s="29">
        <v>155.925</v>
      </c>
      <c r="H205" s="9">
        <f t="shared" si="3"/>
        <v>81.081</v>
      </c>
      <c r="I205" s="29" t="s">
        <v>30</v>
      </c>
      <c r="J205" s="29">
        <v>2</v>
      </c>
      <c r="K205" s="9">
        <v>1</v>
      </c>
      <c r="L205" s="9">
        <v>1</v>
      </c>
      <c r="M205" s="9">
        <v>1</v>
      </c>
      <c r="N205" s="9">
        <v>0</v>
      </c>
      <c r="O205" s="9">
        <v>0</v>
      </c>
      <c r="P205" s="51"/>
      <c r="Q205" s="51"/>
      <c r="R205" s="51"/>
      <c r="S205" s="51"/>
      <c r="T205" s="51"/>
      <c r="U205" s="53"/>
    </row>
    <row r="206" ht="61" customHeight="1" spans="1:21">
      <c r="A206" s="9">
        <v>204</v>
      </c>
      <c r="B206" s="57" t="s">
        <v>627</v>
      </c>
      <c r="C206" s="29">
        <v>1</v>
      </c>
      <c r="D206" s="29" t="s">
        <v>628</v>
      </c>
      <c r="E206" s="29">
        <v>58</v>
      </c>
      <c r="F206" s="29" t="s">
        <v>629</v>
      </c>
      <c r="G206" s="29">
        <v>319.464</v>
      </c>
      <c r="H206" s="9">
        <f t="shared" si="3"/>
        <v>166.12128</v>
      </c>
      <c r="I206" s="29" t="s">
        <v>38</v>
      </c>
      <c r="J206" s="29">
        <v>5</v>
      </c>
      <c r="K206" s="9">
        <v>30</v>
      </c>
      <c r="L206" s="9">
        <v>1</v>
      </c>
      <c r="M206" s="9">
        <v>1</v>
      </c>
      <c r="N206" s="9">
        <v>0</v>
      </c>
      <c r="O206" s="9">
        <v>1</v>
      </c>
      <c r="P206" s="51"/>
      <c r="Q206" s="51"/>
      <c r="R206" s="51"/>
      <c r="S206" s="51"/>
      <c r="T206" s="51"/>
      <c r="U206" s="53"/>
    </row>
    <row r="207" ht="75" customHeight="1" spans="1:21">
      <c r="A207" s="9">
        <v>205</v>
      </c>
      <c r="B207" s="57" t="s">
        <v>630</v>
      </c>
      <c r="C207" s="29">
        <v>1</v>
      </c>
      <c r="D207" s="29" t="s">
        <v>631</v>
      </c>
      <c r="E207" s="29">
        <v>61</v>
      </c>
      <c r="F207" s="29" t="s">
        <v>632</v>
      </c>
      <c r="G207" s="29">
        <v>51.52</v>
      </c>
      <c r="H207" s="9">
        <f t="shared" ref="H207:H221" si="4">G207*0.52</f>
        <v>26.7904</v>
      </c>
      <c r="I207" s="29" t="s">
        <v>30</v>
      </c>
      <c r="J207" s="29">
        <v>2</v>
      </c>
      <c r="K207" s="9">
        <v>15</v>
      </c>
      <c r="L207" s="9">
        <v>1</v>
      </c>
      <c r="M207" s="9">
        <v>1</v>
      </c>
      <c r="N207" s="9">
        <v>0</v>
      </c>
      <c r="O207" s="9">
        <v>1</v>
      </c>
      <c r="P207" s="51"/>
      <c r="Q207" s="51"/>
      <c r="R207" s="51"/>
      <c r="S207" s="51"/>
      <c r="T207" s="51"/>
      <c r="U207" s="53"/>
    </row>
    <row r="208" ht="34.95" customHeight="1" spans="1:21">
      <c r="A208" s="9">
        <v>206</v>
      </c>
      <c r="B208" s="57" t="s">
        <v>633</v>
      </c>
      <c r="C208" s="29">
        <v>1</v>
      </c>
      <c r="D208" s="29" t="s">
        <v>634</v>
      </c>
      <c r="E208" s="29">
        <v>83</v>
      </c>
      <c r="F208" s="29" t="s">
        <v>635</v>
      </c>
      <c r="G208" s="29">
        <v>74.52</v>
      </c>
      <c r="H208" s="9">
        <f t="shared" si="4"/>
        <v>38.7504</v>
      </c>
      <c r="I208" s="29" t="s">
        <v>144</v>
      </c>
      <c r="J208" s="29">
        <v>4</v>
      </c>
      <c r="K208" s="9">
        <v>3</v>
      </c>
      <c r="L208" s="9">
        <v>1</v>
      </c>
      <c r="M208" s="9">
        <v>1</v>
      </c>
      <c r="N208" s="9">
        <v>0</v>
      </c>
      <c r="O208" s="9">
        <v>1</v>
      </c>
      <c r="P208" s="51"/>
      <c r="Q208" s="51"/>
      <c r="R208" s="51"/>
      <c r="S208" s="51"/>
      <c r="T208" s="51"/>
      <c r="U208" s="53"/>
    </row>
    <row r="209" ht="34.95" customHeight="1" spans="1:21">
      <c r="A209" s="9">
        <v>207</v>
      </c>
      <c r="B209" s="57" t="s">
        <v>636</v>
      </c>
      <c r="C209" s="29">
        <v>1</v>
      </c>
      <c r="D209" s="29" t="s">
        <v>637</v>
      </c>
      <c r="E209" s="29">
        <v>69</v>
      </c>
      <c r="F209" s="29" t="s">
        <v>638</v>
      </c>
      <c r="G209" s="29">
        <v>94.423</v>
      </c>
      <c r="H209" s="9">
        <f t="shared" si="4"/>
        <v>49.09996</v>
      </c>
      <c r="I209" s="29" t="s">
        <v>16</v>
      </c>
      <c r="J209" s="29">
        <v>3</v>
      </c>
      <c r="K209" s="9">
        <v>5</v>
      </c>
      <c r="L209" s="9">
        <v>1</v>
      </c>
      <c r="M209" s="9">
        <v>1</v>
      </c>
      <c r="N209" s="9">
        <v>0</v>
      </c>
      <c r="O209" s="9">
        <v>0</v>
      </c>
      <c r="P209" s="51"/>
      <c r="Q209" s="51"/>
      <c r="R209" s="51"/>
      <c r="S209" s="51"/>
      <c r="T209" s="51"/>
      <c r="U209" s="53"/>
    </row>
    <row r="210" ht="47" customHeight="1" spans="1:21">
      <c r="A210" s="9">
        <v>208</v>
      </c>
      <c r="B210" s="57" t="s">
        <v>639</v>
      </c>
      <c r="C210" s="29">
        <v>0</v>
      </c>
      <c r="D210" s="29" t="s">
        <v>640</v>
      </c>
      <c r="E210" s="29">
        <v>82</v>
      </c>
      <c r="F210" s="29" t="s">
        <v>641</v>
      </c>
      <c r="G210" s="29">
        <v>161.955</v>
      </c>
      <c r="H210" s="9">
        <f t="shared" si="4"/>
        <v>84.2166</v>
      </c>
      <c r="I210" s="29" t="s">
        <v>20</v>
      </c>
      <c r="J210" s="29">
        <v>1</v>
      </c>
      <c r="K210" s="9">
        <v>2</v>
      </c>
      <c r="L210" s="9">
        <v>1</v>
      </c>
      <c r="M210" s="9">
        <v>0</v>
      </c>
      <c r="N210" s="9">
        <v>0</v>
      </c>
      <c r="O210" s="9">
        <v>0</v>
      </c>
      <c r="P210" s="51"/>
      <c r="Q210" s="51"/>
      <c r="R210" s="51"/>
      <c r="S210" s="51"/>
      <c r="T210" s="51"/>
      <c r="U210" s="53"/>
    </row>
    <row r="211" ht="123" customHeight="1" spans="1:21">
      <c r="A211" s="9">
        <v>209</v>
      </c>
      <c r="B211" s="29">
        <v>931242</v>
      </c>
      <c r="C211" s="29">
        <v>1</v>
      </c>
      <c r="D211" s="29" t="s">
        <v>642</v>
      </c>
      <c r="E211" s="29">
        <v>69</v>
      </c>
      <c r="F211" s="29" t="s">
        <v>643</v>
      </c>
      <c r="G211" s="29">
        <v>31.552</v>
      </c>
      <c r="H211" s="9">
        <f t="shared" si="4"/>
        <v>16.40704</v>
      </c>
      <c r="I211" s="29" t="s">
        <v>38</v>
      </c>
      <c r="J211" s="29">
        <v>5</v>
      </c>
      <c r="K211" s="9">
        <v>2</v>
      </c>
      <c r="L211" s="9">
        <v>1</v>
      </c>
      <c r="M211" s="9">
        <v>1</v>
      </c>
      <c r="N211" s="9">
        <v>0</v>
      </c>
      <c r="O211" s="9">
        <v>1</v>
      </c>
      <c r="P211" s="51"/>
      <c r="Q211" s="51"/>
      <c r="R211" s="51"/>
      <c r="S211" s="51"/>
      <c r="T211" s="51"/>
      <c r="U211" s="53"/>
    </row>
    <row r="212" ht="62" customHeight="1" spans="1:21">
      <c r="A212" s="9">
        <v>210</v>
      </c>
      <c r="B212" s="29">
        <v>10702</v>
      </c>
      <c r="C212" s="29">
        <v>0</v>
      </c>
      <c r="D212" s="29" t="s">
        <v>644</v>
      </c>
      <c r="E212" s="29">
        <v>75</v>
      </c>
      <c r="F212" s="29" t="s">
        <v>645</v>
      </c>
      <c r="G212" s="29">
        <v>92.455</v>
      </c>
      <c r="H212" s="9">
        <f t="shared" si="4"/>
        <v>48.0766</v>
      </c>
      <c r="I212" s="29" t="s">
        <v>20</v>
      </c>
      <c r="J212" s="29">
        <v>1</v>
      </c>
      <c r="K212" s="9">
        <v>1</v>
      </c>
      <c r="L212" s="9">
        <v>1</v>
      </c>
      <c r="M212" s="9">
        <v>0</v>
      </c>
      <c r="N212" s="9">
        <v>0</v>
      </c>
      <c r="O212" s="9">
        <v>0</v>
      </c>
      <c r="P212" s="51"/>
      <c r="Q212" s="51"/>
      <c r="R212" s="51"/>
      <c r="S212" s="51"/>
      <c r="T212" s="51"/>
      <c r="U212" s="53"/>
    </row>
    <row r="213" ht="34.95" customHeight="1" spans="1:21">
      <c r="A213" s="9">
        <v>211</v>
      </c>
      <c r="B213" s="29">
        <v>1083956</v>
      </c>
      <c r="C213" s="29">
        <v>0</v>
      </c>
      <c r="D213" s="29" t="s">
        <v>646</v>
      </c>
      <c r="E213" s="29">
        <v>68</v>
      </c>
      <c r="F213" s="29" t="s">
        <v>647</v>
      </c>
      <c r="G213" s="29">
        <v>131.544</v>
      </c>
      <c r="H213" s="9">
        <f t="shared" si="4"/>
        <v>68.40288</v>
      </c>
      <c r="I213" s="29" t="s">
        <v>20</v>
      </c>
      <c r="J213" s="29">
        <v>1</v>
      </c>
      <c r="K213" s="9">
        <v>7</v>
      </c>
      <c r="L213" s="9">
        <v>1</v>
      </c>
      <c r="M213" s="9">
        <v>0</v>
      </c>
      <c r="N213" s="9">
        <v>0</v>
      </c>
      <c r="O213" s="9">
        <v>0</v>
      </c>
      <c r="P213" s="51"/>
      <c r="Q213" s="51"/>
      <c r="R213" s="51"/>
      <c r="S213" s="51"/>
      <c r="T213" s="51"/>
      <c r="U213" s="53"/>
    </row>
    <row r="214" ht="34.95" customHeight="1" spans="1:21">
      <c r="A214" s="9">
        <v>212</v>
      </c>
      <c r="B214" s="29">
        <v>1084421</v>
      </c>
      <c r="C214" s="29">
        <v>1</v>
      </c>
      <c r="D214" s="29" t="s">
        <v>648</v>
      </c>
      <c r="E214" s="29">
        <v>62</v>
      </c>
      <c r="F214" s="29" t="s">
        <v>649</v>
      </c>
      <c r="G214" s="29">
        <v>79.8</v>
      </c>
      <c r="H214" s="9">
        <f t="shared" si="4"/>
        <v>41.496</v>
      </c>
      <c r="I214" s="29" t="s">
        <v>85</v>
      </c>
      <c r="J214" s="29" t="s">
        <v>27</v>
      </c>
      <c r="K214" s="9">
        <v>20</v>
      </c>
      <c r="L214" s="9">
        <v>1</v>
      </c>
      <c r="M214" s="9">
        <v>1</v>
      </c>
      <c r="N214" s="9">
        <v>0</v>
      </c>
      <c r="O214" s="9">
        <v>1</v>
      </c>
      <c r="P214" s="51"/>
      <c r="Q214" s="51"/>
      <c r="R214" s="51"/>
      <c r="S214" s="51"/>
      <c r="T214" s="51"/>
      <c r="U214" s="53"/>
    </row>
    <row r="215" ht="34.95" customHeight="1" spans="1:21">
      <c r="A215" s="9">
        <v>213</v>
      </c>
      <c r="B215" s="29">
        <v>313298</v>
      </c>
      <c r="C215" s="29">
        <v>1</v>
      </c>
      <c r="D215" s="29" t="s">
        <v>650</v>
      </c>
      <c r="E215" s="29">
        <v>67</v>
      </c>
      <c r="F215" s="29" t="s">
        <v>651</v>
      </c>
      <c r="G215" s="29">
        <v>116.16</v>
      </c>
      <c r="H215" s="9">
        <f t="shared" si="4"/>
        <v>60.4032</v>
      </c>
      <c r="I215" s="29" t="s">
        <v>144</v>
      </c>
      <c r="J215" s="29" t="s">
        <v>27</v>
      </c>
      <c r="K215" s="9">
        <v>20</v>
      </c>
      <c r="L215" s="9">
        <v>1</v>
      </c>
      <c r="M215" s="9">
        <v>1</v>
      </c>
      <c r="N215" s="9">
        <v>0</v>
      </c>
      <c r="O215" s="9">
        <v>1</v>
      </c>
      <c r="P215" s="51"/>
      <c r="Q215" s="51"/>
      <c r="R215" s="51"/>
      <c r="S215" s="51"/>
      <c r="T215" s="51"/>
      <c r="U215" s="53"/>
    </row>
    <row r="216" ht="34.95" customHeight="1" spans="1:21">
      <c r="A216" s="9">
        <v>214</v>
      </c>
      <c r="B216" s="29">
        <v>379327</v>
      </c>
      <c r="C216" s="29">
        <v>1</v>
      </c>
      <c r="D216" s="29" t="s">
        <v>652</v>
      </c>
      <c r="E216" s="29">
        <v>65</v>
      </c>
      <c r="F216" s="29" t="s">
        <v>653</v>
      </c>
      <c r="G216" s="29">
        <v>105.84</v>
      </c>
      <c r="H216" s="9">
        <f t="shared" si="4"/>
        <v>55.0368</v>
      </c>
      <c r="I216" s="29" t="s">
        <v>38</v>
      </c>
      <c r="J216" s="29" t="s">
        <v>39</v>
      </c>
      <c r="K216" s="9">
        <v>30</v>
      </c>
      <c r="L216" s="9">
        <v>1</v>
      </c>
      <c r="M216" s="9">
        <v>1</v>
      </c>
      <c r="N216" s="9">
        <v>0</v>
      </c>
      <c r="O216" s="9">
        <v>1</v>
      </c>
      <c r="P216" s="51"/>
      <c r="Q216" s="51"/>
      <c r="R216" s="51"/>
      <c r="S216" s="51"/>
      <c r="T216" s="51"/>
      <c r="U216" s="53"/>
    </row>
    <row r="217" ht="34.95" customHeight="1" spans="1:21">
      <c r="A217" s="9">
        <v>215</v>
      </c>
      <c r="B217" s="29">
        <v>50252</v>
      </c>
      <c r="C217" s="29">
        <v>0</v>
      </c>
      <c r="D217" s="29" t="s">
        <v>654</v>
      </c>
      <c r="E217" s="29">
        <v>76</v>
      </c>
      <c r="F217" s="29" t="s">
        <v>655</v>
      </c>
      <c r="G217" s="29">
        <v>48.692</v>
      </c>
      <c r="H217" s="9">
        <f t="shared" si="4"/>
        <v>25.31984</v>
      </c>
      <c r="I217" s="29" t="s">
        <v>20</v>
      </c>
      <c r="J217" s="29" t="s">
        <v>21</v>
      </c>
      <c r="K217" s="9">
        <v>10</v>
      </c>
      <c r="L217" s="9">
        <v>1</v>
      </c>
      <c r="M217" s="9">
        <v>1</v>
      </c>
      <c r="N217" s="9">
        <v>0</v>
      </c>
      <c r="O217" s="9">
        <v>0</v>
      </c>
      <c r="P217" s="51"/>
      <c r="Q217" s="51"/>
      <c r="R217" s="51"/>
      <c r="S217" s="51"/>
      <c r="T217" s="51"/>
      <c r="U217" s="53"/>
    </row>
    <row r="218" ht="34.95" customHeight="1" spans="1:21">
      <c r="A218" s="9">
        <v>216</v>
      </c>
      <c r="B218" s="29">
        <v>320504</v>
      </c>
      <c r="C218" s="29">
        <v>1</v>
      </c>
      <c r="D218" s="29" t="s">
        <v>656</v>
      </c>
      <c r="E218" s="29">
        <v>68</v>
      </c>
      <c r="F218" s="29" t="s">
        <v>657</v>
      </c>
      <c r="G218" s="29">
        <v>46.956</v>
      </c>
      <c r="H218" s="9">
        <f t="shared" si="4"/>
        <v>24.41712</v>
      </c>
      <c r="I218" s="29" t="s">
        <v>205</v>
      </c>
      <c r="J218" s="29" t="s">
        <v>27</v>
      </c>
      <c r="K218" s="9">
        <v>1</v>
      </c>
      <c r="L218" s="9">
        <v>1</v>
      </c>
      <c r="M218" s="9">
        <v>1</v>
      </c>
      <c r="N218" s="9">
        <v>0</v>
      </c>
      <c r="O218" s="9">
        <v>1</v>
      </c>
      <c r="P218" s="51"/>
      <c r="Q218" s="51"/>
      <c r="R218" s="51"/>
      <c r="S218" s="51"/>
      <c r="T218" s="51"/>
      <c r="U218" s="53"/>
    </row>
    <row r="219" ht="34.95" customHeight="1" spans="1:21">
      <c r="A219" s="9">
        <v>217</v>
      </c>
      <c r="B219" s="29">
        <v>534154</v>
      </c>
      <c r="C219" s="29">
        <v>1</v>
      </c>
      <c r="D219" s="29" t="s">
        <v>658</v>
      </c>
      <c r="E219" s="29">
        <v>79</v>
      </c>
      <c r="F219" s="29" t="s">
        <v>659</v>
      </c>
      <c r="G219" s="29">
        <v>67.725</v>
      </c>
      <c r="H219" s="9">
        <f t="shared" si="4"/>
        <v>35.217</v>
      </c>
      <c r="I219" s="29" t="s">
        <v>38</v>
      </c>
      <c r="J219" s="29" t="s">
        <v>39</v>
      </c>
      <c r="K219" s="9">
        <v>5</v>
      </c>
      <c r="L219" s="9">
        <v>0</v>
      </c>
      <c r="M219" s="9">
        <v>0</v>
      </c>
      <c r="N219" s="9">
        <v>0</v>
      </c>
      <c r="O219" s="9">
        <v>1</v>
      </c>
      <c r="P219" s="51"/>
      <c r="Q219" s="51"/>
      <c r="R219" s="51"/>
      <c r="S219" s="51"/>
      <c r="T219" s="51"/>
      <c r="U219" s="53"/>
    </row>
    <row r="220" ht="34.95" customHeight="1" spans="1:21">
      <c r="A220" s="9">
        <v>218</v>
      </c>
      <c r="B220" s="29">
        <v>1029952</v>
      </c>
      <c r="C220" s="29">
        <v>1</v>
      </c>
      <c r="D220" s="29" t="s">
        <v>660</v>
      </c>
      <c r="E220" s="29">
        <v>76</v>
      </c>
      <c r="F220" s="29" t="s">
        <v>661</v>
      </c>
      <c r="G220" s="29">
        <v>79.9</v>
      </c>
      <c r="H220" s="9">
        <f t="shared" si="4"/>
        <v>41.548</v>
      </c>
      <c r="I220" s="29" t="s">
        <v>205</v>
      </c>
      <c r="J220" s="29" t="s">
        <v>27</v>
      </c>
      <c r="K220" s="9">
        <v>2</v>
      </c>
      <c r="L220" s="9">
        <v>0</v>
      </c>
      <c r="M220" s="9">
        <v>0</v>
      </c>
      <c r="N220" s="9">
        <v>0</v>
      </c>
      <c r="O220" s="9">
        <v>0</v>
      </c>
      <c r="P220" s="51"/>
      <c r="Q220" s="51"/>
      <c r="R220" s="51"/>
      <c r="S220" s="51"/>
      <c r="T220" s="51"/>
      <c r="U220" s="53"/>
    </row>
    <row r="221" ht="34.95" customHeight="1" spans="1:21">
      <c r="A221" s="9">
        <v>219</v>
      </c>
      <c r="B221" s="29">
        <v>594029</v>
      </c>
      <c r="C221" s="29">
        <v>1</v>
      </c>
      <c r="D221" s="29" t="s">
        <v>662</v>
      </c>
      <c r="E221" s="29">
        <v>75</v>
      </c>
      <c r="F221" s="29" t="s">
        <v>663</v>
      </c>
      <c r="G221" s="29">
        <v>54.464</v>
      </c>
      <c r="H221" s="9">
        <f t="shared" si="4"/>
        <v>28.32128</v>
      </c>
      <c r="I221" s="29" t="s">
        <v>30</v>
      </c>
      <c r="J221" s="29" t="s">
        <v>31</v>
      </c>
      <c r="K221" s="9">
        <v>10</v>
      </c>
      <c r="L221" s="9">
        <v>0</v>
      </c>
      <c r="M221" s="9">
        <v>0</v>
      </c>
      <c r="N221" s="9">
        <v>0</v>
      </c>
      <c r="O221" s="9">
        <v>0</v>
      </c>
      <c r="P221" s="52"/>
      <c r="Q221" s="52"/>
      <c r="R221" s="52"/>
      <c r="S221" s="52"/>
      <c r="T221" s="52"/>
      <c r="U221" s="54"/>
    </row>
    <row r="222" spans="14:15">
      <c r="N222" s="49"/>
      <c r="O222" s="49"/>
    </row>
    <row r="223" spans="14:15">
      <c r="N223" s="49"/>
      <c r="O223" s="49"/>
    </row>
    <row r="224" spans="14:15">
      <c r="N224" s="49"/>
      <c r="O224" s="49"/>
    </row>
    <row r="225" spans="14:15">
      <c r="N225" s="49"/>
      <c r="O225" s="49"/>
    </row>
    <row r="226" spans="14:15">
      <c r="N226" s="49"/>
      <c r="O226" s="49"/>
    </row>
    <row r="227" spans="14:15">
      <c r="N227" s="49"/>
      <c r="O227" s="49"/>
    </row>
    <row r="228" spans="14:15">
      <c r="N228" s="49"/>
      <c r="O228" s="49"/>
    </row>
    <row r="229" spans="14:15">
      <c r="N229" s="49"/>
      <c r="O229" s="49"/>
    </row>
    <row r="230" spans="14:15">
      <c r="N230" s="49"/>
      <c r="O230" s="49"/>
    </row>
    <row r="231" spans="14:15">
      <c r="N231" s="49"/>
      <c r="O231" s="49"/>
    </row>
    <row r="232" spans="14:15">
      <c r="N232" s="49"/>
      <c r="O232" s="49"/>
    </row>
    <row r="233" spans="14:15">
      <c r="N233" s="49"/>
      <c r="O233" s="49"/>
    </row>
    <row r="234" spans="14:15">
      <c r="N234" s="49"/>
      <c r="O234" s="49"/>
    </row>
    <row r="235" spans="14:15">
      <c r="N235" s="49"/>
      <c r="O235" s="49"/>
    </row>
    <row r="236" spans="14:15">
      <c r="N236" s="49"/>
      <c r="O236" s="49"/>
    </row>
    <row r="237" spans="14:15">
      <c r="N237" s="49"/>
      <c r="O237" s="49"/>
    </row>
    <row r="238" spans="14:15">
      <c r="N238" s="49"/>
      <c r="O238" s="49"/>
    </row>
    <row r="239" spans="14:15">
      <c r="N239" s="49"/>
      <c r="O239" s="49"/>
    </row>
    <row r="240" spans="14:15">
      <c r="N240" s="49"/>
      <c r="O240" s="49"/>
    </row>
    <row r="241" spans="14:15">
      <c r="N241" s="49"/>
      <c r="O241" s="49"/>
    </row>
    <row r="242" spans="14:15">
      <c r="N242" s="49"/>
      <c r="O242" s="49"/>
    </row>
    <row r="243" spans="14:15">
      <c r="N243" s="49"/>
      <c r="O243" s="49"/>
    </row>
    <row r="244" spans="14:15">
      <c r="N244" s="49"/>
      <c r="O244" s="49"/>
    </row>
    <row r="245" spans="14:15">
      <c r="N245" s="49"/>
      <c r="O245" s="49"/>
    </row>
    <row r="246" spans="14:15">
      <c r="N246" s="49"/>
      <c r="O246" s="49"/>
    </row>
    <row r="247" spans="14:15">
      <c r="N247" s="49"/>
      <c r="O247" s="49"/>
    </row>
    <row r="248" spans="14:15">
      <c r="N248" s="49"/>
      <c r="O248" s="49"/>
    </row>
    <row r="249" spans="14:15">
      <c r="N249" s="49"/>
      <c r="O249" s="49"/>
    </row>
    <row r="250" spans="14:15">
      <c r="N250" s="49"/>
      <c r="O250" s="49"/>
    </row>
    <row r="251" spans="14:15">
      <c r="N251" s="49"/>
      <c r="O251" s="49"/>
    </row>
    <row r="252" spans="14:15">
      <c r="N252" s="49"/>
      <c r="O252" s="49"/>
    </row>
    <row r="253" spans="14:15">
      <c r="N253" s="49"/>
      <c r="O253" s="49"/>
    </row>
    <row r="254" spans="14:15">
      <c r="N254" s="49"/>
      <c r="O254" s="49"/>
    </row>
    <row r="255" spans="14:15">
      <c r="N255" s="49"/>
      <c r="O255" s="49"/>
    </row>
    <row r="256" spans="14:14">
      <c r="N256" s="49"/>
    </row>
    <row r="257" spans="14:15">
      <c r="N257" s="49"/>
      <c r="O257" s="49"/>
    </row>
    <row r="258" spans="14:15">
      <c r="N258" s="49"/>
      <c r="O258" s="49"/>
    </row>
    <row r="259" spans="14:15">
      <c r="N259" s="49"/>
      <c r="O259" s="49"/>
    </row>
    <row r="260" spans="14:15">
      <c r="N260" s="49"/>
      <c r="O260" s="49"/>
    </row>
    <row r="261" spans="14:15">
      <c r="N261" s="49"/>
      <c r="O261" s="49"/>
    </row>
    <row r="262" spans="14:15">
      <c r="N262" s="49"/>
      <c r="O262" s="49"/>
    </row>
    <row r="263" spans="14:15">
      <c r="N263" s="49"/>
      <c r="O263" s="49"/>
    </row>
    <row r="264" spans="14:15">
      <c r="N264" s="49"/>
      <c r="O264" s="49"/>
    </row>
    <row r="265" spans="14:15">
      <c r="N265" s="49"/>
      <c r="O265" s="49"/>
    </row>
    <row r="266" spans="14:15">
      <c r="N266" s="49"/>
      <c r="O266" s="49"/>
    </row>
    <row r="267" spans="14:15">
      <c r="N267" s="49"/>
      <c r="O267" s="49"/>
    </row>
    <row r="268" spans="14:15">
      <c r="N268" s="49"/>
      <c r="O268" s="49"/>
    </row>
    <row r="269" spans="14:15">
      <c r="N269" s="49"/>
      <c r="O269" s="49"/>
    </row>
    <row r="270" spans="14:15">
      <c r="N270" s="49"/>
      <c r="O270" s="49"/>
    </row>
    <row r="271" spans="14:15">
      <c r="N271" s="49"/>
      <c r="O271" s="49"/>
    </row>
    <row r="272" spans="14:15">
      <c r="N272" s="49"/>
      <c r="O272" s="49"/>
    </row>
    <row r="273" spans="14:15">
      <c r="N273" s="49"/>
      <c r="O273" s="49"/>
    </row>
    <row r="274" spans="14:15">
      <c r="N274" s="49"/>
      <c r="O274" s="49"/>
    </row>
    <row r="275" spans="14:15">
      <c r="N275" s="49"/>
      <c r="O275" s="49"/>
    </row>
    <row r="276" spans="14:15">
      <c r="N276" s="49"/>
      <c r="O276" s="49"/>
    </row>
    <row r="277" spans="14:15">
      <c r="N277" s="49"/>
      <c r="O277" s="49"/>
    </row>
    <row r="278" spans="14:15">
      <c r="N278" s="49"/>
      <c r="O278" s="49"/>
    </row>
    <row r="279" spans="14:15">
      <c r="N279" s="49"/>
      <c r="O279" s="49"/>
    </row>
    <row r="280" spans="14:15">
      <c r="N280" s="49"/>
      <c r="O280" s="49"/>
    </row>
    <row r="281" spans="14:15">
      <c r="N281" s="49"/>
      <c r="O281" s="49"/>
    </row>
    <row r="282" spans="14:15">
      <c r="N282" s="49"/>
      <c r="O282" s="49"/>
    </row>
    <row r="283" spans="14:15">
      <c r="N283" s="49"/>
      <c r="O283" s="49"/>
    </row>
    <row r="284" spans="14:15">
      <c r="N284" s="49"/>
      <c r="O284" s="49"/>
    </row>
    <row r="285" spans="14:15">
      <c r="N285" s="49"/>
      <c r="O285" s="49"/>
    </row>
    <row r="286" spans="14:15">
      <c r="N286" s="49"/>
      <c r="O286" s="49"/>
    </row>
    <row r="287" spans="14:15">
      <c r="N287" s="49"/>
      <c r="O287" s="49"/>
    </row>
    <row r="288" spans="14:15">
      <c r="N288" s="49"/>
      <c r="O288" s="49"/>
    </row>
    <row r="289" spans="14:15">
      <c r="N289" s="49"/>
      <c r="O289" s="49"/>
    </row>
    <row r="290" spans="14:15">
      <c r="N290" s="49"/>
      <c r="O290" s="49"/>
    </row>
    <row r="291" spans="14:15">
      <c r="N291" s="49"/>
      <c r="O291" s="49"/>
    </row>
    <row r="292" spans="14:15">
      <c r="N292" s="49"/>
      <c r="O292" s="49"/>
    </row>
    <row r="293" spans="14:15">
      <c r="N293" s="49"/>
      <c r="O293" s="49"/>
    </row>
    <row r="294" spans="14:15">
      <c r="N294" s="49"/>
      <c r="O294" s="49"/>
    </row>
    <row r="295" spans="14:15">
      <c r="N295" s="49"/>
      <c r="O295" s="49"/>
    </row>
    <row r="296" spans="14:15">
      <c r="N296" s="49"/>
      <c r="O296" s="49"/>
    </row>
    <row r="297" spans="14:15">
      <c r="N297" s="49"/>
      <c r="O297" s="49"/>
    </row>
    <row r="298" spans="14:15">
      <c r="N298" s="49"/>
      <c r="O298" s="49"/>
    </row>
    <row r="299" spans="14:15">
      <c r="N299" s="49"/>
      <c r="O299" s="49"/>
    </row>
    <row r="300" spans="14:15">
      <c r="N300" s="49"/>
      <c r="O300" s="49"/>
    </row>
    <row r="301" spans="14:15">
      <c r="N301" s="49"/>
      <c r="O301" s="49"/>
    </row>
    <row r="302" spans="14:15">
      <c r="N302" s="49"/>
      <c r="O302" s="49"/>
    </row>
    <row r="303" spans="14:15">
      <c r="N303" s="49"/>
      <c r="O303" s="49"/>
    </row>
    <row r="304" spans="14:15">
      <c r="N304" s="49"/>
      <c r="O304" s="49"/>
    </row>
    <row r="305" spans="14:15">
      <c r="N305" s="49"/>
      <c r="O305" s="49"/>
    </row>
    <row r="306" spans="14:15">
      <c r="N306" s="49"/>
      <c r="O306" s="49"/>
    </row>
    <row r="307" spans="14:15">
      <c r="N307" s="49"/>
      <c r="O307" s="49"/>
    </row>
    <row r="308" spans="14:15">
      <c r="N308" s="49"/>
      <c r="O308" s="49"/>
    </row>
    <row r="309" spans="14:15">
      <c r="N309" s="49"/>
      <c r="O309" s="49"/>
    </row>
    <row r="310" spans="14:15">
      <c r="N310" s="49"/>
      <c r="O310" s="49"/>
    </row>
    <row r="311" spans="14:15">
      <c r="N311" s="49"/>
      <c r="O311" s="49"/>
    </row>
    <row r="312" spans="14:15">
      <c r="N312" s="49"/>
      <c r="O312" s="49"/>
    </row>
    <row r="313" spans="14:15">
      <c r="N313" s="49"/>
      <c r="O313" s="49"/>
    </row>
    <row r="314" spans="14:15">
      <c r="N314" s="49"/>
      <c r="O314" s="49"/>
    </row>
    <row r="315" spans="14:15">
      <c r="N315" s="49"/>
      <c r="O315" s="49"/>
    </row>
    <row r="316" spans="14:15">
      <c r="N316" s="49"/>
      <c r="O316" s="49"/>
    </row>
    <row r="317" spans="14:15">
      <c r="N317" s="49"/>
      <c r="O317" s="49"/>
    </row>
    <row r="318" spans="14:15">
      <c r="N318" s="49"/>
      <c r="O318" s="49"/>
    </row>
    <row r="319" spans="14:15">
      <c r="N319" s="49"/>
      <c r="O319" s="49"/>
    </row>
    <row r="320" spans="14:15">
      <c r="N320" s="49"/>
      <c r="O320" s="49"/>
    </row>
    <row r="321" spans="14:15">
      <c r="N321" s="49"/>
      <c r="O321" s="49"/>
    </row>
    <row r="322" spans="14:15">
      <c r="N322" s="49"/>
      <c r="O322" s="49"/>
    </row>
    <row r="323" spans="14:15">
      <c r="N323" s="49"/>
      <c r="O323" s="49"/>
    </row>
    <row r="324" spans="14:15">
      <c r="N324" s="49"/>
      <c r="O324" s="49"/>
    </row>
    <row r="325" spans="14:15">
      <c r="N325" s="49"/>
      <c r="O325" s="49"/>
    </row>
    <row r="326" spans="14:15">
      <c r="N326" s="49"/>
      <c r="O326" s="49"/>
    </row>
    <row r="327" spans="14:15">
      <c r="N327" s="49"/>
      <c r="O327" s="49"/>
    </row>
    <row r="328" spans="14:15">
      <c r="N328" s="49"/>
      <c r="O328" s="49"/>
    </row>
    <row r="329" spans="14:15">
      <c r="N329" s="49"/>
      <c r="O329" s="49"/>
    </row>
    <row r="330" spans="14:15">
      <c r="N330" s="49"/>
      <c r="O330" s="49"/>
    </row>
    <row r="331" spans="14:15">
      <c r="N331" s="49"/>
      <c r="O331" s="49"/>
    </row>
    <row r="332" spans="14:15">
      <c r="N332" s="49"/>
      <c r="O332" s="49"/>
    </row>
    <row r="333" spans="14:15">
      <c r="N333" s="49"/>
      <c r="O333" s="49"/>
    </row>
    <row r="334" spans="14:15">
      <c r="N334" s="49"/>
      <c r="O334" s="49"/>
    </row>
    <row r="335" spans="14:15">
      <c r="N335" s="49"/>
      <c r="O335" s="49"/>
    </row>
    <row r="336" spans="14:15">
      <c r="N336" s="49"/>
      <c r="O336" s="49"/>
    </row>
    <row r="337" spans="14:15">
      <c r="N337" s="49"/>
      <c r="O337" s="49"/>
    </row>
    <row r="338" spans="14:15">
      <c r="N338" s="49"/>
      <c r="O338" s="49"/>
    </row>
    <row r="339" spans="14:15">
      <c r="N339" s="49"/>
      <c r="O339" s="49"/>
    </row>
    <row r="340" spans="14:15">
      <c r="N340" s="49"/>
      <c r="O340" s="49"/>
    </row>
    <row r="341" spans="14:15">
      <c r="N341" s="49"/>
      <c r="O341" s="49"/>
    </row>
    <row r="342" spans="14:15">
      <c r="N342" s="49"/>
      <c r="O342" s="49"/>
    </row>
    <row r="343" spans="14:15">
      <c r="N343" s="49"/>
      <c r="O343" s="49"/>
    </row>
    <row r="344" spans="14:15">
      <c r="N344" s="49"/>
      <c r="O344" s="49"/>
    </row>
    <row r="345" spans="14:15">
      <c r="N345" s="49"/>
      <c r="O345" s="49"/>
    </row>
    <row r="346" spans="14:15">
      <c r="N346" s="49"/>
      <c r="O346" s="49"/>
    </row>
    <row r="347" spans="14:15">
      <c r="N347" s="49"/>
      <c r="O347" s="49"/>
    </row>
    <row r="348" spans="14:15">
      <c r="N348" s="49"/>
      <c r="O348" s="49"/>
    </row>
    <row r="349" spans="14:15">
      <c r="N349" s="49"/>
      <c r="O349" s="49"/>
    </row>
    <row r="350" spans="14:15">
      <c r="N350" s="49"/>
      <c r="O350" s="49"/>
    </row>
    <row r="351" spans="14:15">
      <c r="N351" s="49"/>
      <c r="O351" s="49"/>
    </row>
    <row r="352" spans="14:15">
      <c r="N352" s="49"/>
      <c r="O352" s="49"/>
    </row>
    <row r="353" spans="14:15">
      <c r="N353" s="49"/>
      <c r="O353" s="49"/>
    </row>
    <row r="354" spans="14:15">
      <c r="N354" s="49"/>
      <c r="O354" s="49"/>
    </row>
    <row r="355" spans="14:15">
      <c r="N355" s="49"/>
      <c r="O355" s="49"/>
    </row>
    <row r="356" spans="14:15">
      <c r="N356" s="49"/>
      <c r="O356" s="49"/>
    </row>
    <row r="357" spans="14:15">
      <c r="N357" s="49"/>
      <c r="O357" s="49"/>
    </row>
    <row r="358" spans="14:15">
      <c r="N358" s="49"/>
      <c r="O358" s="49"/>
    </row>
    <row r="359" spans="14:15">
      <c r="N359" s="49"/>
      <c r="O359" s="49"/>
    </row>
    <row r="360" spans="14:15">
      <c r="N360" s="49"/>
      <c r="O360" s="49"/>
    </row>
    <row r="361" spans="14:15">
      <c r="N361" s="49"/>
      <c r="O361" s="49"/>
    </row>
    <row r="362" spans="14:15">
      <c r="N362" s="49"/>
      <c r="O362" s="49"/>
    </row>
    <row r="363" spans="14:15">
      <c r="N363" s="49"/>
      <c r="O363" s="49"/>
    </row>
    <row r="364" spans="14:15">
      <c r="N364" s="49"/>
      <c r="O364" s="49"/>
    </row>
    <row r="365" spans="14:15">
      <c r="N365" s="49"/>
      <c r="O365" s="49"/>
    </row>
    <row r="366" spans="14:15">
      <c r="N366" s="49"/>
      <c r="O366" s="49"/>
    </row>
    <row r="367" spans="14:15">
      <c r="N367" s="49"/>
      <c r="O367" s="49"/>
    </row>
    <row r="368" spans="14:15">
      <c r="N368" s="49"/>
      <c r="O368" s="49"/>
    </row>
    <row r="369" spans="14:15">
      <c r="N369" s="49"/>
      <c r="O369" s="49"/>
    </row>
    <row r="370" spans="14:15">
      <c r="N370" s="49"/>
      <c r="O370" s="49"/>
    </row>
    <row r="371" spans="14:15">
      <c r="N371" s="49"/>
      <c r="O371" s="49"/>
    </row>
    <row r="372" spans="14:15">
      <c r="N372" s="49"/>
      <c r="O372" s="49"/>
    </row>
    <row r="373" spans="14:15">
      <c r="N373" s="49"/>
      <c r="O373" s="49"/>
    </row>
    <row r="374" spans="14:15">
      <c r="N374" s="49"/>
      <c r="O374" s="49"/>
    </row>
    <row r="375" spans="14:15">
      <c r="N375" s="49"/>
      <c r="O375" s="49"/>
    </row>
    <row r="376" spans="14:15">
      <c r="N376" s="49"/>
      <c r="O376" s="49"/>
    </row>
    <row r="377" spans="14:15">
      <c r="N377" s="49"/>
      <c r="O377" s="49"/>
    </row>
    <row r="378" spans="14:15">
      <c r="N378" s="49"/>
      <c r="O378" s="49"/>
    </row>
    <row r="379" spans="14:15">
      <c r="N379" s="49"/>
      <c r="O379" s="49"/>
    </row>
    <row r="380" spans="14:15">
      <c r="N380" s="49"/>
      <c r="O380" s="49"/>
    </row>
    <row r="381" spans="14:15">
      <c r="N381" s="49"/>
      <c r="O381" s="49"/>
    </row>
    <row r="382" spans="14:15">
      <c r="N382" s="49"/>
      <c r="O382" s="49"/>
    </row>
    <row r="383" spans="14:15">
      <c r="N383" s="49"/>
      <c r="O383" s="49"/>
    </row>
    <row r="384" spans="14:15">
      <c r="N384" s="49"/>
      <c r="O384" s="49"/>
    </row>
    <row r="385" spans="14:15">
      <c r="N385" s="49"/>
      <c r="O385" s="49"/>
    </row>
    <row r="386" spans="14:15">
      <c r="N386" s="49"/>
      <c r="O386" s="49"/>
    </row>
    <row r="387" spans="14:15">
      <c r="N387" s="49"/>
      <c r="O387" s="49"/>
    </row>
    <row r="388" spans="14:15">
      <c r="N388" s="49"/>
      <c r="O388" s="49"/>
    </row>
    <row r="389" spans="14:15">
      <c r="N389" s="55"/>
      <c r="O389" s="55"/>
    </row>
  </sheetData>
  <sortState ref="A2:AA194">
    <sortCondition ref="B189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2"/>
  <sheetViews>
    <sheetView zoomScale="85" zoomScaleNormal="85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7.6"/>
  <cols>
    <col min="1" max="1" width="5.88495575221239" style="3" customWidth="1"/>
    <col min="2" max="2" width="18.4424778761062" style="3" customWidth="1"/>
    <col min="3" max="3" width="11.3362831858407" style="4" customWidth="1"/>
    <col min="4" max="4" width="9.66371681415929" style="3" customWidth="1"/>
    <col min="5" max="5" width="9" style="3" customWidth="1"/>
    <col min="6" max="6" width="33.1150442477876" style="3" customWidth="1"/>
    <col min="7" max="7" width="26.1592920353982" style="3" customWidth="1"/>
    <col min="8" max="8" width="16.716814159292" style="3" customWidth="1"/>
    <col min="9" max="11" width="14.7787610619469" style="4" customWidth="1"/>
    <col min="12" max="16384" width="9" style="4"/>
  </cols>
  <sheetData>
    <row r="1" ht="34.8" customHeight="1" spans="1:11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664</v>
      </c>
      <c r="J1" s="7" t="s">
        <v>11</v>
      </c>
      <c r="K1" s="7" t="s">
        <v>6</v>
      </c>
    </row>
    <row r="2" ht="17.65" spans="1:11">
      <c r="A2" s="8">
        <v>1</v>
      </c>
      <c r="B2" s="56" t="s">
        <v>665</v>
      </c>
      <c r="C2" s="9">
        <v>0</v>
      </c>
      <c r="D2" s="10" t="s">
        <v>666</v>
      </c>
      <c r="E2" s="9">
        <v>76</v>
      </c>
      <c r="F2" s="9" t="s">
        <v>667</v>
      </c>
      <c r="G2" s="9">
        <f>5.5*5.4*4.6</f>
        <v>136.62</v>
      </c>
      <c r="H2" s="9">
        <f>G2*0.52</f>
        <v>71.0424</v>
      </c>
      <c r="I2" s="9">
        <v>3</v>
      </c>
      <c r="J2" s="9" t="s">
        <v>21</v>
      </c>
      <c r="K2" s="9" t="s">
        <v>21</v>
      </c>
    </row>
    <row r="3" ht="17.65" spans="1:11">
      <c r="A3" s="8">
        <v>2</v>
      </c>
      <c r="B3" s="61" t="s">
        <v>668</v>
      </c>
      <c r="C3" s="9">
        <v>0</v>
      </c>
      <c r="D3" s="10" t="s">
        <v>669</v>
      </c>
      <c r="E3" s="9">
        <v>69</v>
      </c>
      <c r="F3" s="9" t="s">
        <v>670</v>
      </c>
      <c r="G3" s="9">
        <f>4.6*5.8*3.1</f>
        <v>82.708</v>
      </c>
      <c r="H3" s="9">
        <f t="shared" ref="H3:H66" si="0">G3*0.52</f>
        <v>43.00816</v>
      </c>
      <c r="I3" s="9"/>
      <c r="J3" s="9"/>
      <c r="K3" s="9"/>
    </row>
    <row r="4" ht="17.65" spans="1:11">
      <c r="A4" s="8">
        <v>3</v>
      </c>
      <c r="B4" s="56" t="s">
        <v>671</v>
      </c>
      <c r="C4" s="9">
        <v>0</v>
      </c>
      <c r="D4" s="9" t="s">
        <v>672</v>
      </c>
      <c r="E4" s="9">
        <v>83</v>
      </c>
      <c r="F4" s="9" t="s">
        <v>673</v>
      </c>
      <c r="G4" s="9">
        <f>5.5*4.5*5.8</f>
        <v>143.55</v>
      </c>
      <c r="H4" s="9">
        <f t="shared" si="0"/>
        <v>74.646</v>
      </c>
      <c r="I4" s="9"/>
      <c r="J4" s="9"/>
      <c r="K4" s="9"/>
    </row>
    <row r="5" ht="17.65" spans="1:11">
      <c r="A5" s="8">
        <v>4</v>
      </c>
      <c r="B5" s="61" t="s">
        <v>674</v>
      </c>
      <c r="C5" s="9">
        <v>0</v>
      </c>
      <c r="D5" s="10" t="s">
        <v>675</v>
      </c>
      <c r="E5" s="9">
        <v>69</v>
      </c>
      <c r="F5" s="9" t="s">
        <v>676</v>
      </c>
      <c r="G5" s="9">
        <f>4.8*3.5*5.4</f>
        <v>90.72</v>
      </c>
      <c r="H5" s="9">
        <f t="shared" si="0"/>
        <v>47.1744</v>
      </c>
      <c r="I5" s="9"/>
      <c r="J5" s="9"/>
      <c r="K5" s="9"/>
    </row>
    <row r="6" ht="17.65" spans="1:11">
      <c r="A6" s="8">
        <v>5</v>
      </c>
      <c r="B6" s="56" t="s">
        <v>677</v>
      </c>
      <c r="C6" s="9">
        <v>0</v>
      </c>
      <c r="D6" s="10" t="s">
        <v>678</v>
      </c>
      <c r="E6" s="9">
        <v>70</v>
      </c>
      <c r="F6" s="9" t="s">
        <v>679</v>
      </c>
      <c r="G6" s="9">
        <f>5.5*5.3*5.1</f>
        <v>148.665</v>
      </c>
      <c r="H6" s="9">
        <f t="shared" si="0"/>
        <v>77.3058</v>
      </c>
      <c r="I6" s="9">
        <v>1</v>
      </c>
      <c r="J6" s="9"/>
      <c r="K6" s="9"/>
    </row>
    <row r="7" ht="17.65" spans="1:11">
      <c r="A7" s="8">
        <v>6</v>
      </c>
      <c r="B7" s="62" t="s">
        <v>680</v>
      </c>
      <c r="C7" s="9">
        <v>0</v>
      </c>
      <c r="D7" s="11" t="s">
        <v>681</v>
      </c>
      <c r="E7" s="9">
        <v>68</v>
      </c>
      <c r="F7" s="9" t="s">
        <v>682</v>
      </c>
      <c r="G7" s="9">
        <f>5.6*5.2*4.6</f>
        <v>133.952</v>
      </c>
      <c r="H7" s="9">
        <f t="shared" si="0"/>
        <v>69.65504</v>
      </c>
      <c r="I7" s="9"/>
      <c r="J7" s="9"/>
      <c r="K7" s="9"/>
    </row>
    <row r="8" ht="17.65" spans="1:11">
      <c r="A8" s="8">
        <v>7</v>
      </c>
      <c r="B8" s="62" t="s">
        <v>683</v>
      </c>
      <c r="C8" s="9">
        <v>0</v>
      </c>
      <c r="D8" s="11" t="s">
        <v>684</v>
      </c>
      <c r="E8" s="9">
        <v>79</v>
      </c>
      <c r="F8" s="9" t="s">
        <v>685</v>
      </c>
      <c r="G8" s="9">
        <f>6*4.8*6.3</f>
        <v>181.44</v>
      </c>
      <c r="H8" s="9">
        <f t="shared" si="0"/>
        <v>94.3488</v>
      </c>
      <c r="I8" s="9"/>
      <c r="J8" s="9"/>
      <c r="K8" s="9"/>
    </row>
    <row r="9" ht="17.65" spans="1:11">
      <c r="A9" s="8">
        <v>8</v>
      </c>
      <c r="B9" s="56" t="s">
        <v>686</v>
      </c>
      <c r="C9" s="9">
        <v>0</v>
      </c>
      <c r="D9" s="10" t="s">
        <v>687</v>
      </c>
      <c r="E9" s="9">
        <v>67</v>
      </c>
      <c r="F9" s="9" t="s">
        <v>688</v>
      </c>
      <c r="G9" s="9">
        <f>6.6*6.3*5.9</f>
        <v>245.322</v>
      </c>
      <c r="H9" s="9">
        <f t="shared" si="0"/>
        <v>127.56744</v>
      </c>
      <c r="I9" s="9" t="s">
        <v>689</v>
      </c>
      <c r="J9" s="9"/>
      <c r="K9" s="9"/>
    </row>
    <row r="10" ht="17.65" spans="1:11">
      <c r="A10" s="8">
        <v>9</v>
      </c>
      <c r="B10" s="62" t="s">
        <v>690</v>
      </c>
      <c r="C10" s="9">
        <v>0</v>
      </c>
      <c r="D10" s="11" t="s">
        <v>691</v>
      </c>
      <c r="E10" s="9">
        <v>81</v>
      </c>
      <c r="F10" s="9" t="s">
        <v>692</v>
      </c>
      <c r="G10" s="9">
        <f>5.6*5.1*4.5</f>
        <v>128.52</v>
      </c>
      <c r="H10" s="9">
        <f t="shared" si="0"/>
        <v>66.8304</v>
      </c>
      <c r="I10" s="9"/>
      <c r="J10" s="9"/>
      <c r="K10" s="9"/>
    </row>
    <row r="11" ht="17.65" spans="1:11">
      <c r="A11" s="8">
        <v>10</v>
      </c>
      <c r="B11" s="56" t="s">
        <v>693</v>
      </c>
      <c r="C11" s="9">
        <v>0</v>
      </c>
      <c r="D11" s="9" t="s">
        <v>694</v>
      </c>
      <c r="E11" s="9">
        <v>64</v>
      </c>
      <c r="F11" s="9" t="s">
        <v>695</v>
      </c>
      <c r="G11" s="9">
        <f>6.6*6.3*7.9</f>
        <v>328.482</v>
      </c>
      <c r="H11" s="9">
        <f t="shared" si="0"/>
        <v>170.81064</v>
      </c>
      <c r="I11" s="9"/>
      <c r="J11" s="9"/>
      <c r="K11" s="9"/>
    </row>
    <row r="12" ht="17.65" spans="1:11">
      <c r="A12" s="8">
        <v>11</v>
      </c>
      <c r="B12" s="61" t="s">
        <v>696</v>
      </c>
      <c r="C12" s="9">
        <v>0</v>
      </c>
      <c r="D12" s="10" t="s">
        <v>697</v>
      </c>
      <c r="E12" s="9">
        <v>73</v>
      </c>
      <c r="F12" s="9" t="s">
        <v>698</v>
      </c>
      <c r="G12" s="9">
        <f>6.8*5.1*6.6</f>
        <v>228.888</v>
      </c>
      <c r="H12" s="9">
        <f t="shared" si="0"/>
        <v>119.02176</v>
      </c>
      <c r="I12" s="9">
        <v>1</v>
      </c>
      <c r="J12" s="9"/>
      <c r="K12" s="9" t="s">
        <v>21</v>
      </c>
    </row>
    <row r="13" ht="17.65" spans="1:11">
      <c r="A13" s="8">
        <v>12</v>
      </c>
      <c r="B13" s="62" t="s">
        <v>699</v>
      </c>
      <c r="C13" s="9">
        <v>0</v>
      </c>
      <c r="D13" s="11" t="s">
        <v>700</v>
      </c>
      <c r="E13" s="9">
        <v>71</v>
      </c>
      <c r="F13" s="9" t="s">
        <v>701</v>
      </c>
      <c r="G13" s="9">
        <f>6.3*5*4.9</f>
        <v>154.35</v>
      </c>
      <c r="H13" s="9">
        <f t="shared" si="0"/>
        <v>80.262</v>
      </c>
      <c r="I13" s="9"/>
      <c r="J13" s="9"/>
      <c r="K13" s="9"/>
    </row>
    <row r="14" ht="17.65" spans="1:11">
      <c r="A14" s="8">
        <v>13</v>
      </c>
      <c r="B14" s="61" t="s">
        <v>702</v>
      </c>
      <c r="C14" s="9">
        <v>0</v>
      </c>
      <c r="D14" s="10" t="s">
        <v>703</v>
      </c>
      <c r="E14" s="10">
        <v>69</v>
      </c>
      <c r="F14" s="9" t="s">
        <v>704</v>
      </c>
      <c r="G14" s="9">
        <f>5.5*4.5*5.7</f>
        <v>141.075</v>
      </c>
      <c r="H14" s="9">
        <f t="shared" si="0"/>
        <v>73.359</v>
      </c>
      <c r="I14" s="9"/>
      <c r="J14" s="9"/>
      <c r="K14" s="9"/>
    </row>
    <row r="15" ht="17.65" spans="1:11">
      <c r="A15" s="8">
        <v>14</v>
      </c>
      <c r="B15" s="56" t="s">
        <v>705</v>
      </c>
      <c r="C15" s="9">
        <v>0</v>
      </c>
      <c r="D15" s="10" t="s">
        <v>706</v>
      </c>
      <c r="E15" s="9">
        <v>67</v>
      </c>
      <c r="F15" s="9" t="s">
        <v>707</v>
      </c>
      <c r="G15" s="9">
        <f>6.2*5.9*4.4</f>
        <v>160.952</v>
      </c>
      <c r="H15" s="9">
        <f t="shared" si="0"/>
        <v>83.69504</v>
      </c>
      <c r="I15" s="9"/>
      <c r="J15" s="9"/>
      <c r="K15" s="9"/>
    </row>
    <row r="16" ht="17.65" spans="1:11">
      <c r="A16" s="8">
        <v>15</v>
      </c>
      <c r="B16" s="62" t="s">
        <v>708</v>
      </c>
      <c r="C16" s="9">
        <v>0</v>
      </c>
      <c r="D16" s="11" t="s">
        <v>709</v>
      </c>
      <c r="E16" s="9">
        <v>81</v>
      </c>
      <c r="F16" s="9" t="s">
        <v>710</v>
      </c>
      <c r="G16" s="9">
        <f>5.1*4.3*4</f>
        <v>87.72</v>
      </c>
      <c r="H16" s="9">
        <f t="shared" si="0"/>
        <v>45.6144</v>
      </c>
      <c r="I16" s="9"/>
      <c r="J16" s="9"/>
      <c r="K16" s="9"/>
    </row>
    <row r="17" ht="17.65" spans="1:11">
      <c r="A17" s="8">
        <v>16</v>
      </c>
      <c r="B17" s="56" t="s">
        <v>711</v>
      </c>
      <c r="C17" s="9">
        <v>0</v>
      </c>
      <c r="D17" s="10" t="s">
        <v>712</v>
      </c>
      <c r="E17" s="10">
        <v>84</v>
      </c>
      <c r="F17" s="9" t="s">
        <v>220</v>
      </c>
      <c r="G17" s="9">
        <f>4.5*3.1*3.5</f>
        <v>48.825</v>
      </c>
      <c r="H17" s="9">
        <f t="shared" si="0"/>
        <v>25.389</v>
      </c>
      <c r="I17" s="9"/>
      <c r="J17" s="9"/>
      <c r="K17" s="9"/>
    </row>
    <row r="18" ht="17.65" spans="1:11">
      <c r="A18" s="8">
        <v>17</v>
      </c>
      <c r="B18" s="62" t="s">
        <v>713</v>
      </c>
      <c r="C18" s="9">
        <v>0</v>
      </c>
      <c r="D18" s="11" t="s">
        <v>714</v>
      </c>
      <c r="E18" s="9">
        <v>83</v>
      </c>
      <c r="F18" s="9" t="s">
        <v>715</v>
      </c>
      <c r="G18" s="9">
        <f>5.1*6.5*4.3</f>
        <v>142.545</v>
      </c>
      <c r="H18" s="9">
        <f t="shared" si="0"/>
        <v>74.1234</v>
      </c>
      <c r="I18" s="9"/>
      <c r="J18" s="9"/>
      <c r="K18" s="9"/>
    </row>
    <row r="19" ht="17.65" spans="1:11">
      <c r="A19" s="8">
        <v>18</v>
      </c>
      <c r="B19" s="56" t="s">
        <v>716</v>
      </c>
      <c r="C19" s="9">
        <v>0</v>
      </c>
      <c r="D19" s="10" t="s">
        <v>717</v>
      </c>
      <c r="E19" s="9">
        <v>67</v>
      </c>
      <c r="F19" s="9" t="s">
        <v>718</v>
      </c>
      <c r="G19" s="9">
        <f>4.6*3.2*3.6</f>
        <v>52.992</v>
      </c>
      <c r="H19" s="9">
        <f t="shared" si="0"/>
        <v>27.55584</v>
      </c>
      <c r="I19" s="9">
        <v>1</v>
      </c>
      <c r="J19" s="9" t="s">
        <v>21</v>
      </c>
      <c r="K19" s="9" t="s">
        <v>21</v>
      </c>
    </row>
    <row r="20" ht="17.65" spans="1:11">
      <c r="A20" s="8">
        <v>19</v>
      </c>
      <c r="B20" s="62" t="s">
        <v>719</v>
      </c>
      <c r="C20" s="9">
        <v>0</v>
      </c>
      <c r="D20" s="11" t="s">
        <v>720</v>
      </c>
      <c r="E20" s="9">
        <v>77</v>
      </c>
      <c r="F20" s="9" t="s">
        <v>721</v>
      </c>
      <c r="G20" s="9">
        <f>5*3.6*3.8</f>
        <v>68.4</v>
      </c>
      <c r="H20" s="9">
        <f t="shared" si="0"/>
        <v>35.568</v>
      </c>
      <c r="I20" s="9"/>
      <c r="J20" s="9"/>
      <c r="K20" s="9" t="s">
        <v>21</v>
      </c>
    </row>
    <row r="21" ht="17.65" spans="1:11">
      <c r="A21" s="8">
        <v>20</v>
      </c>
      <c r="B21" s="61" t="s">
        <v>722</v>
      </c>
      <c r="C21" s="9">
        <v>0</v>
      </c>
      <c r="D21" s="10" t="s">
        <v>723</v>
      </c>
      <c r="E21" s="9">
        <v>76</v>
      </c>
      <c r="F21" s="9" t="s">
        <v>724</v>
      </c>
      <c r="G21" s="9">
        <f>7.1*6.5*7.2</f>
        <v>332.28</v>
      </c>
      <c r="H21" s="9">
        <f t="shared" si="0"/>
        <v>172.7856</v>
      </c>
      <c r="I21" s="9">
        <v>1</v>
      </c>
      <c r="J21" s="9"/>
      <c r="K21" s="9" t="s">
        <v>21</v>
      </c>
    </row>
    <row r="22" ht="17.65" spans="1:11">
      <c r="A22" s="8">
        <v>21</v>
      </c>
      <c r="B22" s="61" t="s">
        <v>725</v>
      </c>
      <c r="C22" s="9">
        <v>0</v>
      </c>
      <c r="D22" s="10" t="s">
        <v>726</v>
      </c>
      <c r="E22" s="10">
        <v>62</v>
      </c>
      <c r="F22" s="9" t="s">
        <v>727</v>
      </c>
      <c r="G22" s="9">
        <f>6.4*4*4.6</f>
        <v>117.76</v>
      </c>
      <c r="H22" s="9">
        <f t="shared" si="0"/>
        <v>61.2352</v>
      </c>
      <c r="I22" s="9"/>
      <c r="J22" s="9"/>
      <c r="K22" s="9"/>
    </row>
    <row r="23" ht="17.65" spans="1:11">
      <c r="A23" s="8">
        <v>22</v>
      </c>
      <c r="B23" s="56" t="s">
        <v>728</v>
      </c>
      <c r="C23" s="9">
        <v>0</v>
      </c>
      <c r="D23" s="9" t="s">
        <v>729</v>
      </c>
      <c r="E23" s="9">
        <v>86</v>
      </c>
      <c r="F23" s="9" t="s">
        <v>730</v>
      </c>
      <c r="G23" s="9">
        <f>5.3*6.4*5</f>
        <v>169.6</v>
      </c>
      <c r="H23" s="9">
        <f t="shared" si="0"/>
        <v>88.192</v>
      </c>
      <c r="I23" s="9"/>
      <c r="J23" s="9"/>
      <c r="K23" s="9"/>
    </row>
    <row r="24" ht="17.65" spans="1:11">
      <c r="A24" s="8">
        <v>23</v>
      </c>
      <c r="B24" s="62" t="s">
        <v>731</v>
      </c>
      <c r="C24" s="9">
        <v>0</v>
      </c>
      <c r="D24" s="11" t="s">
        <v>732</v>
      </c>
      <c r="E24" s="9">
        <v>75</v>
      </c>
      <c r="F24" s="9" t="s">
        <v>733</v>
      </c>
      <c r="G24" s="9">
        <f>6.8*6.7*5.8</f>
        <v>264.248</v>
      </c>
      <c r="H24" s="9">
        <f t="shared" si="0"/>
        <v>137.40896</v>
      </c>
      <c r="I24" s="9"/>
      <c r="J24" s="9"/>
      <c r="K24" s="9"/>
    </row>
    <row r="25" ht="17.65" spans="1:11">
      <c r="A25" s="8">
        <v>24</v>
      </c>
      <c r="B25" s="61" t="s">
        <v>734</v>
      </c>
      <c r="C25" s="9">
        <v>0</v>
      </c>
      <c r="D25" s="10" t="s">
        <v>735</v>
      </c>
      <c r="E25" s="9">
        <v>57</v>
      </c>
      <c r="F25" s="9" t="s">
        <v>736</v>
      </c>
      <c r="G25" s="9">
        <f>6.2*4.9*4.2</f>
        <v>127.596</v>
      </c>
      <c r="H25" s="9">
        <f t="shared" si="0"/>
        <v>66.34992</v>
      </c>
      <c r="I25" s="9"/>
      <c r="J25" s="9"/>
      <c r="K25" s="9"/>
    </row>
    <row r="26" ht="17.65" spans="1:11">
      <c r="A26" s="8">
        <v>25</v>
      </c>
      <c r="B26" s="56" t="s">
        <v>737</v>
      </c>
      <c r="C26" s="9">
        <v>0</v>
      </c>
      <c r="D26" s="10" t="s">
        <v>738</v>
      </c>
      <c r="E26" s="9">
        <v>80</v>
      </c>
      <c r="F26" s="9" t="s">
        <v>739</v>
      </c>
      <c r="G26" s="9">
        <f>6.2*5.5*6.4</f>
        <v>218.24</v>
      </c>
      <c r="H26" s="9">
        <f t="shared" si="0"/>
        <v>113.4848</v>
      </c>
      <c r="I26" s="9"/>
      <c r="J26" s="9"/>
      <c r="K26" s="9"/>
    </row>
    <row r="27" ht="17.65" spans="1:11">
      <c r="A27" s="8">
        <v>26</v>
      </c>
      <c r="B27" s="56" t="s">
        <v>740</v>
      </c>
      <c r="C27" s="9">
        <v>0</v>
      </c>
      <c r="D27" s="10" t="s">
        <v>741</v>
      </c>
      <c r="E27" s="9">
        <v>76</v>
      </c>
      <c r="F27" s="9" t="s">
        <v>742</v>
      </c>
      <c r="G27" s="9">
        <f>4.6*3.8*3.8</f>
        <v>66.424</v>
      </c>
      <c r="H27" s="9">
        <f t="shared" si="0"/>
        <v>34.54048</v>
      </c>
      <c r="I27" s="9"/>
      <c r="J27" s="9"/>
      <c r="K27" s="9"/>
    </row>
    <row r="28" ht="17.65" spans="1:11">
      <c r="A28" s="8">
        <v>27</v>
      </c>
      <c r="B28" s="56" t="s">
        <v>743</v>
      </c>
      <c r="C28" s="9">
        <v>0</v>
      </c>
      <c r="D28" s="10" t="s">
        <v>744</v>
      </c>
      <c r="E28" s="9">
        <v>69</v>
      </c>
      <c r="F28" s="9" t="s">
        <v>745</v>
      </c>
      <c r="G28" s="9">
        <f>5.6*3.8*3.5</f>
        <v>74.48</v>
      </c>
      <c r="H28" s="9">
        <f t="shared" si="0"/>
        <v>38.7296</v>
      </c>
      <c r="I28" s="9"/>
      <c r="J28" s="9"/>
      <c r="K28" s="9" t="s">
        <v>21</v>
      </c>
    </row>
    <row r="29" ht="17.65" spans="1:11">
      <c r="A29" s="8">
        <v>28</v>
      </c>
      <c r="B29" s="62" t="s">
        <v>746</v>
      </c>
      <c r="C29" s="9">
        <v>0</v>
      </c>
      <c r="D29" s="11" t="s">
        <v>747</v>
      </c>
      <c r="E29" s="9">
        <v>63</v>
      </c>
      <c r="F29" s="9" t="s">
        <v>748</v>
      </c>
      <c r="G29" s="9">
        <f>4.9*4.1*3.5</f>
        <v>70.315</v>
      </c>
      <c r="H29" s="9">
        <f t="shared" si="0"/>
        <v>36.5638</v>
      </c>
      <c r="I29" s="9"/>
      <c r="J29" s="9"/>
      <c r="K29" s="9"/>
    </row>
    <row r="30" ht="17.65" spans="1:11">
      <c r="A30" s="8">
        <v>29</v>
      </c>
      <c r="B30" s="62" t="s">
        <v>749</v>
      </c>
      <c r="C30" s="9">
        <v>0</v>
      </c>
      <c r="D30" s="11" t="s">
        <v>750</v>
      </c>
      <c r="E30" s="9">
        <v>68</v>
      </c>
      <c r="F30" s="9" t="s">
        <v>751</v>
      </c>
      <c r="G30" s="9">
        <f>5.2*4.2*4.8</f>
        <v>104.832</v>
      </c>
      <c r="H30" s="9">
        <f t="shared" si="0"/>
        <v>54.51264</v>
      </c>
      <c r="I30" s="9"/>
      <c r="J30" s="9"/>
      <c r="K30" s="9"/>
    </row>
    <row r="31" ht="17.65" spans="1:11">
      <c r="A31" s="8">
        <v>30</v>
      </c>
      <c r="B31" s="62" t="s">
        <v>752</v>
      </c>
      <c r="C31" s="9">
        <v>0</v>
      </c>
      <c r="D31" s="11" t="s">
        <v>753</v>
      </c>
      <c r="E31" s="9">
        <v>69</v>
      </c>
      <c r="F31" s="9" t="s">
        <v>754</v>
      </c>
      <c r="G31" s="9">
        <f>4.7*3.8*3.6</f>
        <v>64.296</v>
      </c>
      <c r="H31" s="9">
        <f t="shared" si="0"/>
        <v>33.43392</v>
      </c>
      <c r="I31" s="9"/>
      <c r="J31" s="9"/>
      <c r="K31" s="9"/>
    </row>
    <row r="32" ht="17.65" spans="1:11">
      <c r="A32" s="8">
        <v>31</v>
      </c>
      <c r="B32" s="62" t="s">
        <v>755</v>
      </c>
      <c r="C32" s="9">
        <v>0</v>
      </c>
      <c r="D32" s="11" t="s">
        <v>756</v>
      </c>
      <c r="E32" s="9">
        <v>77</v>
      </c>
      <c r="F32" s="9" t="s">
        <v>757</v>
      </c>
      <c r="G32" s="9">
        <f>5.7*5.4*4.8</f>
        <v>147.744</v>
      </c>
      <c r="H32" s="9">
        <f t="shared" si="0"/>
        <v>76.82688</v>
      </c>
      <c r="I32" s="9"/>
      <c r="J32" s="9"/>
      <c r="K32" s="9"/>
    </row>
    <row r="33" ht="17.65" spans="1:11">
      <c r="A33" s="8">
        <v>32</v>
      </c>
      <c r="B33" s="62" t="s">
        <v>758</v>
      </c>
      <c r="C33" s="9">
        <v>0</v>
      </c>
      <c r="D33" s="11" t="s">
        <v>759</v>
      </c>
      <c r="E33" s="9">
        <v>72</v>
      </c>
      <c r="F33" s="9" t="s">
        <v>760</v>
      </c>
      <c r="G33" s="9">
        <f>5.4*4.7*4.4</f>
        <v>111.672</v>
      </c>
      <c r="H33" s="9">
        <f t="shared" si="0"/>
        <v>58.06944</v>
      </c>
      <c r="I33" s="9"/>
      <c r="J33" s="9"/>
      <c r="K33" s="9"/>
    </row>
    <row r="34" ht="17.65" spans="1:11">
      <c r="A34" s="8">
        <v>33</v>
      </c>
      <c r="B34" s="56" t="s">
        <v>761</v>
      </c>
      <c r="C34" s="9">
        <v>0</v>
      </c>
      <c r="D34" s="10" t="s">
        <v>762</v>
      </c>
      <c r="E34" s="9">
        <v>72</v>
      </c>
      <c r="F34" s="9" t="s">
        <v>763</v>
      </c>
      <c r="G34" s="9">
        <f>5.6*6.4*5.4</f>
        <v>193.536</v>
      </c>
      <c r="H34" s="9">
        <f t="shared" si="0"/>
        <v>100.63872</v>
      </c>
      <c r="I34" s="9"/>
      <c r="J34" s="9" t="s">
        <v>21</v>
      </c>
      <c r="K34" s="9" t="s">
        <v>21</v>
      </c>
    </row>
    <row r="35" ht="17.65" spans="1:11">
      <c r="A35" s="8">
        <v>34</v>
      </c>
      <c r="B35" s="56" t="s">
        <v>764</v>
      </c>
      <c r="C35" s="9">
        <v>0</v>
      </c>
      <c r="D35" s="10" t="s">
        <v>765</v>
      </c>
      <c r="E35" s="9">
        <v>80</v>
      </c>
      <c r="F35" s="9" t="s">
        <v>766</v>
      </c>
      <c r="G35" s="9">
        <f>4.8*4.4*4.7</f>
        <v>99.264</v>
      </c>
      <c r="H35" s="9">
        <f t="shared" si="0"/>
        <v>51.61728</v>
      </c>
      <c r="I35" s="9"/>
      <c r="J35" s="9"/>
      <c r="K35" s="9"/>
    </row>
    <row r="36" ht="17.65" spans="1:11">
      <c r="A36" s="8">
        <v>35</v>
      </c>
      <c r="B36" s="56" t="s">
        <v>767</v>
      </c>
      <c r="C36" s="9">
        <v>0</v>
      </c>
      <c r="D36" s="9" t="s">
        <v>768</v>
      </c>
      <c r="E36" s="9">
        <v>54</v>
      </c>
      <c r="F36" s="9" t="s">
        <v>769</v>
      </c>
      <c r="G36" s="9">
        <f>5.6*3.9*5.1</f>
        <v>111.384</v>
      </c>
      <c r="H36" s="9">
        <f t="shared" si="0"/>
        <v>57.91968</v>
      </c>
      <c r="I36" s="9">
        <v>2</v>
      </c>
      <c r="J36" s="9" t="s">
        <v>21</v>
      </c>
      <c r="K36" s="9" t="s">
        <v>21</v>
      </c>
    </row>
    <row r="37" ht="17.65" spans="1:11">
      <c r="A37" s="8">
        <v>36</v>
      </c>
      <c r="B37" s="61" t="s">
        <v>770</v>
      </c>
      <c r="C37" s="9">
        <v>0</v>
      </c>
      <c r="D37" s="10" t="s">
        <v>771</v>
      </c>
      <c r="E37" s="9">
        <v>72</v>
      </c>
      <c r="F37" s="9" t="s">
        <v>772</v>
      </c>
      <c r="G37" s="9">
        <f>6.5*4.6*5.4</f>
        <v>161.46</v>
      </c>
      <c r="H37" s="9">
        <f t="shared" si="0"/>
        <v>83.9592</v>
      </c>
      <c r="I37" s="9"/>
      <c r="J37" s="9"/>
      <c r="K37" s="9"/>
    </row>
    <row r="38" ht="17.65" spans="1:11">
      <c r="A38" s="8">
        <v>37</v>
      </c>
      <c r="B38" s="61" t="s">
        <v>773</v>
      </c>
      <c r="C38" s="9">
        <v>0</v>
      </c>
      <c r="D38" s="10" t="s">
        <v>774</v>
      </c>
      <c r="E38" s="10">
        <v>69</v>
      </c>
      <c r="F38" s="9" t="s">
        <v>775</v>
      </c>
      <c r="G38" s="9">
        <f>5.7*3.6*4.2</f>
        <v>86.184</v>
      </c>
      <c r="H38" s="9">
        <f t="shared" si="0"/>
        <v>44.81568</v>
      </c>
      <c r="I38" s="9"/>
      <c r="J38" s="9"/>
      <c r="K38" s="9" t="s">
        <v>21</v>
      </c>
    </row>
    <row r="39" ht="17.65" spans="1:11">
      <c r="A39" s="8">
        <v>38</v>
      </c>
      <c r="B39" s="62" t="s">
        <v>776</v>
      </c>
      <c r="C39" s="9">
        <v>0</v>
      </c>
      <c r="D39" s="11" t="s">
        <v>777</v>
      </c>
      <c r="E39" s="9">
        <v>74</v>
      </c>
      <c r="F39" s="9" t="s">
        <v>300</v>
      </c>
      <c r="G39" s="9">
        <f>5.2*3.7*4.2</f>
        <v>80.808</v>
      </c>
      <c r="H39" s="9">
        <f t="shared" si="0"/>
        <v>42.02016</v>
      </c>
      <c r="I39" s="9"/>
      <c r="J39" s="9"/>
      <c r="K39" s="9"/>
    </row>
    <row r="40" ht="17.65" spans="1:11">
      <c r="A40" s="8">
        <v>39</v>
      </c>
      <c r="B40" s="56" t="s">
        <v>778</v>
      </c>
      <c r="C40" s="9">
        <v>0</v>
      </c>
      <c r="D40" s="10" t="s">
        <v>779</v>
      </c>
      <c r="E40" s="9">
        <v>63</v>
      </c>
      <c r="F40" s="9" t="s">
        <v>780</v>
      </c>
      <c r="G40" s="9">
        <f>5.3*4.5*4.2</f>
        <v>100.17</v>
      </c>
      <c r="H40" s="9">
        <f t="shared" si="0"/>
        <v>52.0884</v>
      </c>
      <c r="I40" s="9"/>
      <c r="J40" s="9"/>
      <c r="K40" s="9"/>
    </row>
    <row r="41" ht="17.65" spans="1:11">
      <c r="A41" s="8">
        <v>40</v>
      </c>
      <c r="B41" s="62" t="s">
        <v>781</v>
      </c>
      <c r="C41" s="9">
        <v>0</v>
      </c>
      <c r="D41" s="11" t="s">
        <v>782</v>
      </c>
      <c r="E41" s="9">
        <v>80</v>
      </c>
      <c r="F41" s="9" t="s">
        <v>783</v>
      </c>
      <c r="G41" s="9">
        <f>5.9*5.2*6</f>
        <v>184.08</v>
      </c>
      <c r="H41" s="9">
        <f t="shared" si="0"/>
        <v>95.7216</v>
      </c>
      <c r="I41" s="9"/>
      <c r="J41" s="9"/>
      <c r="K41" s="9"/>
    </row>
    <row r="42" ht="17.65" spans="1:11">
      <c r="A42" s="8">
        <v>41</v>
      </c>
      <c r="B42" s="61" t="s">
        <v>784</v>
      </c>
      <c r="C42" s="9">
        <v>0</v>
      </c>
      <c r="D42" s="10" t="s">
        <v>785</v>
      </c>
      <c r="E42" s="10">
        <v>81</v>
      </c>
      <c r="F42" s="9" t="s">
        <v>786</v>
      </c>
      <c r="G42" s="9">
        <f>6.1*3.8*3.7</f>
        <v>85.766</v>
      </c>
      <c r="H42" s="9">
        <f t="shared" si="0"/>
        <v>44.59832</v>
      </c>
      <c r="I42" s="9"/>
      <c r="J42" s="9"/>
      <c r="K42" s="9"/>
    </row>
    <row r="43" ht="17.65" spans="1:11">
      <c r="A43" s="8">
        <v>42</v>
      </c>
      <c r="B43" s="56" t="s">
        <v>787</v>
      </c>
      <c r="C43" s="9">
        <v>0</v>
      </c>
      <c r="D43" s="10" t="s">
        <v>788</v>
      </c>
      <c r="E43" s="9">
        <v>66</v>
      </c>
      <c r="F43" s="9" t="s">
        <v>789</v>
      </c>
      <c r="G43" s="9">
        <f>4.8*4.5*4.6</f>
        <v>99.36</v>
      </c>
      <c r="H43" s="9">
        <f t="shared" si="0"/>
        <v>51.6672</v>
      </c>
      <c r="I43" s="9"/>
      <c r="J43" s="9"/>
      <c r="K43" s="9"/>
    </row>
    <row r="44" ht="17.65" spans="1:11">
      <c r="A44" s="8">
        <v>43</v>
      </c>
      <c r="B44" s="61" t="s">
        <v>790</v>
      </c>
      <c r="C44" s="9">
        <v>0</v>
      </c>
      <c r="D44" s="10" t="s">
        <v>791</v>
      </c>
      <c r="E44" s="10">
        <v>65</v>
      </c>
      <c r="F44" s="9" t="s">
        <v>792</v>
      </c>
      <c r="G44" s="9">
        <f>4.8*3.4*4.7</f>
        <v>76.704</v>
      </c>
      <c r="H44" s="9">
        <f t="shared" si="0"/>
        <v>39.88608</v>
      </c>
      <c r="I44" s="9">
        <v>2</v>
      </c>
      <c r="J44" s="9"/>
      <c r="K44" s="9" t="s">
        <v>21</v>
      </c>
    </row>
    <row r="45" ht="17.65" spans="1:11">
      <c r="A45" s="8">
        <v>44</v>
      </c>
      <c r="B45" s="62" t="s">
        <v>793</v>
      </c>
      <c r="C45" s="9">
        <v>0</v>
      </c>
      <c r="D45" s="11" t="s">
        <v>794</v>
      </c>
      <c r="E45" s="9">
        <v>69</v>
      </c>
      <c r="F45" s="9" t="s">
        <v>795</v>
      </c>
      <c r="G45" s="9">
        <f>4.6*5.9*3.6</f>
        <v>97.704</v>
      </c>
      <c r="H45" s="9">
        <f t="shared" si="0"/>
        <v>50.80608</v>
      </c>
      <c r="I45" s="9"/>
      <c r="J45" s="9"/>
      <c r="K45" s="9"/>
    </row>
    <row r="46" ht="17.65" spans="1:11">
      <c r="A46" s="8">
        <v>45</v>
      </c>
      <c r="B46" s="56" t="s">
        <v>796</v>
      </c>
      <c r="C46" s="9">
        <v>0</v>
      </c>
      <c r="D46" s="10" t="s">
        <v>797</v>
      </c>
      <c r="E46" s="9">
        <v>64</v>
      </c>
      <c r="F46" s="9" t="s">
        <v>798</v>
      </c>
      <c r="G46" s="9">
        <f>5.1*4.5*3.7</f>
        <v>84.915</v>
      </c>
      <c r="H46" s="9">
        <f t="shared" si="0"/>
        <v>44.1558</v>
      </c>
      <c r="I46" s="9"/>
      <c r="J46" s="9"/>
      <c r="K46" s="9"/>
    </row>
    <row r="47" ht="17.65" spans="1:11">
      <c r="A47" s="8">
        <v>46</v>
      </c>
      <c r="B47" s="62" t="s">
        <v>799</v>
      </c>
      <c r="C47" s="9">
        <v>0</v>
      </c>
      <c r="D47" s="11" t="s">
        <v>800</v>
      </c>
      <c r="E47" s="9">
        <v>65</v>
      </c>
      <c r="F47" s="9" t="s">
        <v>801</v>
      </c>
      <c r="G47" s="9">
        <f>5.7*4*6.2</f>
        <v>141.36</v>
      </c>
      <c r="H47" s="9">
        <f t="shared" si="0"/>
        <v>73.5072</v>
      </c>
      <c r="I47" s="9"/>
      <c r="J47" s="9"/>
      <c r="K47" s="9"/>
    </row>
    <row r="48" ht="17.65" spans="1:11">
      <c r="A48" s="8">
        <v>47</v>
      </c>
      <c r="B48" s="63" t="s">
        <v>802</v>
      </c>
      <c r="C48" s="9">
        <v>0</v>
      </c>
      <c r="D48" s="12" t="s">
        <v>803</v>
      </c>
      <c r="E48" s="9">
        <v>60</v>
      </c>
      <c r="F48" s="9" t="s">
        <v>804</v>
      </c>
      <c r="G48" s="9">
        <f>4.7*5.8*3.8</f>
        <v>103.588</v>
      </c>
      <c r="H48" s="9">
        <f t="shared" si="0"/>
        <v>53.86576</v>
      </c>
      <c r="I48" s="9"/>
      <c r="J48" s="9"/>
      <c r="K48" s="9"/>
    </row>
    <row r="49" ht="17.65" spans="1:11">
      <c r="A49" s="8">
        <v>48</v>
      </c>
      <c r="B49" s="62" t="s">
        <v>805</v>
      </c>
      <c r="C49" s="9">
        <v>0</v>
      </c>
      <c r="D49" s="11" t="s">
        <v>806</v>
      </c>
      <c r="E49" s="9">
        <v>75</v>
      </c>
      <c r="F49" s="9" t="s">
        <v>807</v>
      </c>
      <c r="G49" s="9">
        <f>7.3*7.8*6.3</f>
        <v>358.722</v>
      </c>
      <c r="H49" s="9">
        <f t="shared" si="0"/>
        <v>186.53544</v>
      </c>
      <c r="I49" s="9"/>
      <c r="J49" s="9"/>
      <c r="K49" s="9" t="s">
        <v>21</v>
      </c>
    </row>
    <row r="50" ht="17.65" spans="1:11">
      <c r="A50" s="8">
        <v>49</v>
      </c>
      <c r="B50" s="61" t="s">
        <v>808</v>
      </c>
      <c r="C50" s="9">
        <v>0</v>
      </c>
      <c r="D50" s="10" t="s">
        <v>809</v>
      </c>
      <c r="E50" s="10">
        <v>68</v>
      </c>
      <c r="F50" s="9" t="s">
        <v>810</v>
      </c>
      <c r="G50" s="9">
        <f>5.6*4.5*5.5</f>
        <v>138.6</v>
      </c>
      <c r="H50" s="9">
        <f t="shared" si="0"/>
        <v>72.072</v>
      </c>
      <c r="I50" s="9">
        <v>1</v>
      </c>
      <c r="J50" s="9"/>
      <c r="K50" s="9" t="s">
        <v>21</v>
      </c>
    </row>
    <row r="51" ht="17.65" spans="1:11">
      <c r="A51" s="8">
        <v>50</v>
      </c>
      <c r="B51" s="62" t="s">
        <v>811</v>
      </c>
      <c r="C51" s="9">
        <v>0</v>
      </c>
      <c r="D51" s="11" t="s">
        <v>812</v>
      </c>
      <c r="E51" s="9">
        <v>79</v>
      </c>
      <c r="F51" s="9" t="s">
        <v>813</v>
      </c>
      <c r="G51" s="9">
        <f>6*4.1*5</f>
        <v>123</v>
      </c>
      <c r="H51" s="9">
        <f t="shared" si="0"/>
        <v>63.96</v>
      </c>
      <c r="I51" s="9"/>
      <c r="J51" s="9"/>
      <c r="K51" s="9"/>
    </row>
    <row r="52" ht="17.65" spans="1:11">
      <c r="A52" s="8">
        <v>51</v>
      </c>
      <c r="B52" s="61" t="s">
        <v>814</v>
      </c>
      <c r="C52" s="9">
        <v>0</v>
      </c>
      <c r="D52" s="10" t="s">
        <v>815</v>
      </c>
      <c r="E52" s="10">
        <v>79</v>
      </c>
      <c r="F52" s="9" t="s">
        <v>816</v>
      </c>
      <c r="G52" s="9">
        <f>5.9*5.7*5</f>
        <v>168.15</v>
      </c>
      <c r="H52" s="9">
        <f t="shared" si="0"/>
        <v>87.438</v>
      </c>
      <c r="I52" s="9">
        <v>2</v>
      </c>
      <c r="J52" s="9"/>
      <c r="K52" s="9" t="s">
        <v>21</v>
      </c>
    </row>
    <row r="53" ht="17.65" spans="1:11">
      <c r="A53" s="8">
        <v>52</v>
      </c>
      <c r="B53" s="56" t="s">
        <v>817</v>
      </c>
      <c r="C53" s="9">
        <v>0</v>
      </c>
      <c r="D53" s="9" t="s">
        <v>818</v>
      </c>
      <c r="E53" s="9">
        <v>62</v>
      </c>
      <c r="F53" s="9" t="s">
        <v>819</v>
      </c>
      <c r="G53" s="9">
        <f>5.9*4.7*4.9</f>
        <v>135.877</v>
      </c>
      <c r="H53" s="9">
        <f t="shared" si="0"/>
        <v>70.65604</v>
      </c>
      <c r="I53" s="9"/>
      <c r="J53" s="9"/>
      <c r="K53" s="9"/>
    </row>
    <row r="54" ht="17.65" spans="1:13">
      <c r="A54" s="8">
        <v>53</v>
      </c>
      <c r="B54" s="56" t="s">
        <v>820</v>
      </c>
      <c r="C54" s="9">
        <v>0</v>
      </c>
      <c r="D54" s="10" t="s">
        <v>821</v>
      </c>
      <c r="E54" s="9">
        <v>66</v>
      </c>
      <c r="F54" s="9" t="s">
        <v>822</v>
      </c>
      <c r="G54" s="9">
        <f>5.1*4*3.7</f>
        <v>75.48</v>
      </c>
      <c r="H54" s="9">
        <f t="shared" si="0"/>
        <v>39.2496</v>
      </c>
      <c r="I54" s="9"/>
      <c r="J54" s="9"/>
      <c r="K54" s="9"/>
      <c r="M54" s="9"/>
    </row>
    <row r="55" ht="17.65" spans="1:13">
      <c r="A55" s="8">
        <v>54</v>
      </c>
      <c r="B55" s="62" t="s">
        <v>823</v>
      </c>
      <c r="C55" s="9">
        <v>0</v>
      </c>
      <c r="D55" s="11" t="s">
        <v>824</v>
      </c>
      <c r="E55" s="9">
        <v>83</v>
      </c>
      <c r="F55" s="9" t="s">
        <v>825</v>
      </c>
      <c r="G55" s="9">
        <f>6.7*4.8*7.5</f>
        <v>241.2</v>
      </c>
      <c r="H55" s="9">
        <f t="shared" si="0"/>
        <v>125.424</v>
      </c>
      <c r="I55" s="9"/>
      <c r="J55" s="9"/>
      <c r="K55" s="9" t="s">
        <v>21</v>
      </c>
      <c r="M55" s="9" t="s">
        <v>826</v>
      </c>
    </row>
    <row r="56" ht="17.65" spans="1:11">
      <c r="A56" s="8">
        <v>55</v>
      </c>
      <c r="B56" s="61" t="s">
        <v>827</v>
      </c>
      <c r="C56" s="9">
        <v>0</v>
      </c>
      <c r="D56" s="10" t="s">
        <v>828</v>
      </c>
      <c r="E56" s="10">
        <v>71</v>
      </c>
      <c r="F56" s="9" t="s">
        <v>829</v>
      </c>
      <c r="G56" s="9">
        <f>5.9*4.1*4.9</f>
        <v>118.531</v>
      </c>
      <c r="H56" s="9">
        <f t="shared" si="0"/>
        <v>61.63612</v>
      </c>
      <c r="I56" s="9"/>
      <c r="J56" s="9"/>
      <c r="K56" s="9" t="s">
        <v>21</v>
      </c>
    </row>
    <row r="57" ht="17.65" spans="1:11">
      <c r="A57" s="8">
        <v>56</v>
      </c>
      <c r="B57" s="56" t="s">
        <v>830</v>
      </c>
      <c r="C57" s="9">
        <v>0</v>
      </c>
      <c r="D57" s="10" t="s">
        <v>831</v>
      </c>
      <c r="E57" s="9">
        <v>68</v>
      </c>
      <c r="F57" s="9" t="s">
        <v>832</v>
      </c>
      <c r="G57" s="9">
        <f>5.5*5.6*6.6</f>
        <v>203.28</v>
      </c>
      <c r="H57" s="9">
        <f t="shared" si="0"/>
        <v>105.7056</v>
      </c>
      <c r="I57" s="9"/>
      <c r="J57" s="9"/>
      <c r="K57" s="9"/>
    </row>
    <row r="58" ht="17.65" spans="1:11">
      <c r="A58" s="8">
        <v>57</v>
      </c>
      <c r="B58" s="62" t="s">
        <v>833</v>
      </c>
      <c r="C58" s="9">
        <v>0</v>
      </c>
      <c r="D58" s="11" t="s">
        <v>834</v>
      </c>
      <c r="E58" s="9">
        <v>67</v>
      </c>
      <c r="F58" s="9" t="s">
        <v>835</v>
      </c>
      <c r="G58" s="9">
        <f>5*4.5*4.1</f>
        <v>92.25</v>
      </c>
      <c r="H58" s="9">
        <f t="shared" si="0"/>
        <v>47.97</v>
      </c>
      <c r="I58" s="9">
        <v>5</v>
      </c>
      <c r="J58" s="9" t="s">
        <v>21</v>
      </c>
      <c r="K58" s="9" t="s">
        <v>21</v>
      </c>
    </row>
    <row r="59" ht="17.65" spans="1:11">
      <c r="A59" s="8">
        <v>58</v>
      </c>
      <c r="B59" s="56" t="s">
        <v>836</v>
      </c>
      <c r="C59" s="9">
        <v>0</v>
      </c>
      <c r="D59" s="10" t="s">
        <v>837</v>
      </c>
      <c r="E59" s="9">
        <v>65</v>
      </c>
      <c r="F59" s="9" t="s">
        <v>838</v>
      </c>
      <c r="G59" s="9">
        <f>5.6*5.7*5.1</f>
        <v>162.792</v>
      </c>
      <c r="H59" s="9">
        <f t="shared" si="0"/>
        <v>84.65184</v>
      </c>
      <c r="I59" s="9"/>
      <c r="J59" s="9"/>
      <c r="K59" s="9"/>
    </row>
    <row r="60" ht="17.65" spans="1:11">
      <c r="A60" s="8">
        <v>59</v>
      </c>
      <c r="B60" s="62" t="s">
        <v>839</v>
      </c>
      <c r="C60" s="9">
        <v>0</v>
      </c>
      <c r="D60" s="11" t="s">
        <v>840</v>
      </c>
      <c r="E60" s="9">
        <v>67</v>
      </c>
      <c r="F60" s="9" t="s">
        <v>841</v>
      </c>
      <c r="G60" s="9">
        <f>6.4*6.2*4.9</f>
        <v>194.432</v>
      </c>
      <c r="H60" s="9">
        <f t="shared" si="0"/>
        <v>101.10464</v>
      </c>
      <c r="I60" s="9"/>
      <c r="J60" s="9"/>
      <c r="K60" s="9"/>
    </row>
    <row r="61" ht="17.65" spans="1:11">
      <c r="A61" s="8">
        <v>60</v>
      </c>
      <c r="B61" s="56" t="s">
        <v>842</v>
      </c>
      <c r="C61" s="9">
        <v>0</v>
      </c>
      <c r="D61" s="9" t="s">
        <v>843</v>
      </c>
      <c r="E61" s="9">
        <v>85</v>
      </c>
      <c r="F61" s="9" t="s">
        <v>844</v>
      </c>
      <c r="G61" s="9">
        <f>5.4*6.2*4.5</f>
        <v>150.66</v>
      </c>
      <c r="H61" s="9">
        <f t="shared" si="0"/>
        <v>78.3432</v>
      </c>
      <c r="I61" s="9"/>
      <c r="J61" s="9"/>
      <c r="K61" s="9"/>
    </row>
    <row r="62" ht="17.65" spans="1:11">
      <c r="A62" s="8">
        <v>61</v>
      </c>
      <c r="B62" s="62" t="s">
        <v>845</v>
      </c>
      <c r="C62" s="9">
        <v>0</v>
      </c>
      <c r="D62" s="11" t="s">
        <v>846</v>
      </c>
      <c r="E62" s="9">
        <v>73</v>
      </c>
      <c r="F62" s="9" t="s">
        <v>847</v>
      </c>
      <c r="G62" s="9">
        <f>5.2*4.3*6</f>
        <v>134.16</v>
      </c>
      <c r="H62" s="9">
        <f t="shared" si="0"/>
        <v>69.7632</v>
      </c>
      <c r="I62" s="9"/>
      <c r="J62" s="9"/>
      <c r="K62" s="9"/>
    </row>
    <row r="63" ht="17.65" spans="1:11">
      <c r="A63" s="8">
        <v>62</v>
      </c>
      <c r="B63" s="61" t="s">
        <v>848</v>
      </c>
      <c r="C63" s="9">
        <v>0</v>
      </c>
      <c r="D63" s="10" t="s">
        <v>849</v>
      </c>
      <c r="E63" s="9">
        <v>65</v>
      </c>
      <c r="F63" s="9" t="s">
        <v>850</v>
      </c>
      <c r="G63" s="9">
        <f>4.9*5.7*3.3</f>
        <v>92.169</v>
      </c>
      <c r="H63" s="9">
        <f t="shared" si="0"/>
        <v>47.92788</v>
      </c>
      <c r="I63" s="9"/>
      <c r="J63" s="9"/>
      <c r="K63" s="9"/>
    </row>
    <row r="64" ht="17.65" spans="1:11">
      <c r="A64" s="8">
        <v>63</v>
      </c>
      <c r="B64" s="56" t="s">
        <v>851</v>
      </c>
      <c r="C64" s="9">
        <v>0</v>
      </c>
      <c r="D64" s="10" t="s">
        <v>852</v>
      </c>
      <c r="E64" s="9">
        <v>74</v>
      </c>
      <c r="F64" s="9" t="s">
        <v>853</v>
      </c>
      <c r="G64" s="9">
        <f>5.3*3.7*4.8</f>
        <v>94.128</v>
      </c>
      <c r="H64" s="9">
        <f t="shared" si="0"/>
        <v>48.94656</v>
      </c>
      <c r="I64" s="9">
        <v>2</v>
      </c>
      <c r="J64" s="9"/>
      <c r="K64" s="9" t="s">
        <v>21</v>
      </c>
    </row>
    <row r="65" ht="17.65" spans="1:13">
      <c r="A65" s="8">
        <v>64</v>
      </c>
      <c r="B65" s="62" t="s">
        <v>854</v>
      </c>
      <c r="C65" s="9">
        <v>0</v>
      </c>
      <c r="D65" s="11" t="s">
        <v>855</v>
      </c>
      <c r="E65" s="9">
        <v>64</v>
      </c>
      <c r="F65" s="9" t="s">
        <v>856</v>
      </c>
      <c r="G65" s="9">
        <f>5.6*5.4*4.6</f>
        <v>139.104</v>
      </c>
      <c r="H65" s="9">
        <f t="shared" si="0"/>
        <v>72.33408</v>
      </c>
      <c r="I65" s="9">
        <v>1</v>
      </c>
      <c r="J65" s="9" t="s">
        <v>21</v>
      </c>
      <c r="K65" s="9" t="s">
        <v>21</v>
      </c>
      <c r="M65" s="9" t="s">
        <v>826</v>
      </c>
    </row>
    <row r="66" ht="17.65" spans="1:11">
      <c r="A66" s="8">
        <v>65</v>
      </c>
      <c r="B66" s="62" t="s">
        <v>857</v>
      </c>
      <c r="C66" s="9">
        <v>0</v>
      </c>
      <c r="D66" s="11" t="s">
        <v>858</v>
      </c>
      <c r="E66" s="9">
        <v>70</v>
      </c>
      <c r="F66" s="9" t="s">
        <v>859</v>
      </c>
      <c r="G66" s="9">
        <f>5.5*6.5*4.5</f>
        <v>160.875</v>
      </c>
      <c r="H66" s="9">
        <f t="shared" si="0"/>
        <v>83.655</v>
      </c>
      <c r="I66" s="9"/>
      <c r="J66" s="9"/>
      <c r="K66" s="9"/>
    </row>
    <row r="67" ht="17.65" spans="1:11">
      <c r="A67" s="8">
        <v>66</v>
      </c>
      <c r="B67" s="61" t="s">
        <v>860</v>
      </c>
      <c r="C67" s="9">
        <v>0</v>
      </c>
      <c r="D67" s="10" t="s">
        <v>861</v>
      </c>
      <c r="E67" s="9">
        <v>73</v>
      </c>
      <c r="F67" s="9" t="s">
        <v>862</v>
      </c>
      <c r="G67" s="9">
        <f>5.3*4.9*4</f>
        <v>103.88</v>
      </c>
      <c r="H67" s="9">
        <f t="shared" ref="H67:H130" si="1">G67*0.52</f>
        <v>54.0176</v>
      </c>
      <c r="I67" s="9">
        <v>1</v>
      </c>
      <c r="J67" s="9"/>
      <c r="K67" s="9" t="s">
        <v>21</v>
      </c>
    </row>
    <row r="68" ht="17.65" spans="1:11">
      <c r="A68" s="8">
        <v>67</v>
      </c>
      <c r="B68" s="56" t="s">
        <v>863</v>
      </c>
      <c r="C68" s="9">
        <v>0</v>
      </c>
      <c r="D68" s="10" t="s">
        <v>864</v>
      </c>
      <c r="E68" s="9">
        <v>57</v>
      </c>
      <c r="F68" s="9" t="s">
        <v>865</v>
      </c>
      <c r="G68" s="9">
        <f>5.7*4.2*4.8</f>
        <v>114.912</v>
      </c>
      <c r="H68" s="9">
        <f t="shared" si="1"/>
        <v>59.75424</v>
      </c>
      <c r="I68" s="9">
        <v>1</v>
      </c>
      <c r="J68" s="9"/>
      <c r="K68" s="9"/>
    </row>
    <row r="69" ht="17.65" spans="1:11">
      <c r="A69" s="8">
        <v>68</v>
      </c>
      <c r="B69" s="56" t="s">
        <v>866</v>
      </c>
      <c r="C69" s="9">
        <v>0</v>
      </c>
      <c r="D69" s="10" t="s">
        <v>867</v>
      </c>
      <c r="E69" s="9">
        <v>74</v>
      </c>
      <c r="F69" s="9" t="s">
        <v>868</v>
      </c>
      <c r="G69" s="9">
        <f>5.4*7.3*4.3</f>
        <v>169.506</v>
      </c>
      <c r="H69" s="9">
        <f t="shared" si="1"/>
        <v>88.14312</v>
      </c>
      <c r="I69" s="9"/>
      <c r="J69" s="9"/>
      <c r="K69" s="9"/>
    </row>
    <row r="70" ht="17.65" spans="1:11">
      <c r="A70" s="8">
        <v>69</v>
      </c>
      <c r="B70" s="61" t="s">
        <v>869</v>
      </c>
      <c r="C70" s="9">
        <v>0</v>
      </c>
      <c r="D70" s="10" t="s">
        <v>870</v>
      </c>
      <c r="E70" s="10">
        <v>81</v>
      </c>
      <c r="F70" s="9" t="s">
        <v>871</v>
      </c>
      <c r="G70" s="9">
        <f>6.2*4.5*5.4</f>
        <v>150.66</v>
      </c>
      <c r="H70" s="9">
        <f t="shared" si="1"/>
        <v>78.3432</v>
      </c>
      <c r="I70" s="9"/>
      <c r="J70" s="9"/>
      <c r="K70" s="9"/>
    </row>
    <row r="71" ht="17.65" spans="1:11">
      <c r="A71" s="8">
        <v>70</v>
      </c>
      <c r="B71" s="62" t="s">
        <v>872</v>
      </c>
      <c r="C71" s="9">
        <v>0</v>
      </c>
      <c r="D71" s="11" t="s">
        <v>873</v>
      </c>
      <c r="E71" s="9">
        <v>64</v>
      </c>
      <c r="F71" s="9" t="s">
        <v>874</v>
      </c>
      <c r="G71" s="9">
        <f>4.8*4*3.6</f>
        <v>69.12</v>
      </c>
      <c r="H71" s="9">
        <f t="shared" si="1"/>
        <v>35.9424</v>
      </c>
      <c r="I71" s="9"/>
      <c r="J71" s="9"/>
      <c r="K71" s="9" t="s">
        <v>21</v>
      </c>
    </row>
    <row r="72" ht="17.65" spans="1:11">
      <c r="A72" s="8">
        <v>71</v>
      </c>
      <c r="B72" s="61" t="s">
        <v>875</v>
      </c>
      <c r="C72" s="9">
        <v>0</v>
      </c>
      <c r="D72" s="10" t="s">
        <v>876</v>
      </c>
      <c r="E72" s="9">
        <v>69</v>
      </c>
      <c r="F72" s="9" t="s">
        <v>877</v>
      </c>
      <c r="G72" s="9">
        <f>8.2*9.5*7.8</f>
        <v>607.62</v>
      </c>
      <c r="H72" s="9">
        <f t="shared" si="1"/>
        <v>315.9624</v>
      </c>
      <c r="I72" s="9"/>
      <c r="J72" s="9"/>
      <c r="K72" s="9"/>
    </row>
    <row r="73" ht="17.65" spans="1:11">
      <c r="A73" s="8">
        <v>72</v>
      </c>
      <c r="B73" s="56" t="s">
        <v>878</v>
      </c>
      <c r="C73" s="9">
        <v>0</v>
      </c>
      <c r="D73" s="10" t="s">
        <v>879</v>
      </c>
      <c r="E73" s="10">
        <v>70</v>
      </c>
      <c r="F73" s="9" t="s">
        <v>880</v>
      </c>
      <c r="G73" s="9">
        <f>5.3*4*4.5</f>
        <v>95.4</v>
      </c>
      <c r="H73" s="9">
        <f t="shared" si="1"/>
        <v>49.608</v>
      </c>
      <c r="I73" s="9"/>
      <c r="J73" s="9"/>
      <c r="K73" s="9"/>
    </row>
    <row r="74" ht="17.65" spans="1:11">
      <c r="A74" s="8">
        <v>73</v>
      </c>
      <c r="B74" s="62" t="s">
        <v>881</v>
      </c>
      <c r="C74" s="9">
        <v>0</v>
      </c>
      <c r="D74" s="11" t="s">
        <v>882</v>
      </c>
      <c r="E74" s="9">
        <v>74</v>
      </c>
      <c r="F74" s="9" t="s">
        <v>883</v>
      </c>
      <c r="G74" s="9">
        <f>6.9*5.6*5.7</f>
        <v>220.248</v>
      </c>
      <c r="H74" s="9">
        <f t="shared" si="1"/>
        <v>114.52896</v>
      </c>
      <c r="I74" s="9">
        <v>5</v>
      </c>
      <c r="J74" s="9"/>
      <c r="K74" s="9" t="s">
        <v>21</v>
      </c>
    </row>
    <row r="75" ht="17.65" spans="1:11">
      <c r="A75" s="8">
        <v>74</v>
      </c>
      <c r="B75" s="62" t="s">
        <v>884</v>
      </c>
      <c r="C75" s="9">
        <v>0</v>
      </c>
      <c r="D75" s="11" t="s">
        <v>885</v>
      </c>
      <c r="E75" s="9">
        <v>79</v>
      </c>
      <c r="F75" s="9" t="s">
        <v>886</v>
      </c>
      <c r="G75" s="9">
        <f>7.1*5.4*7.2</f>
        <v>276.048</v>
      </c>
      <c r="H75" s="9">
        <f t="shared" si="1"/>
        <v>143.54496</v>
      </c>
      <c r="I75" s="9"/>
      <c r="J75" s="9"/>
      <c r="K75" s="9"/>
    </row>
    <row r="76" ht="17.65" spans="1:11">
      <c r="A76" s="8">
        <v>75</v>
      </c>
      <c r="B76" s="62" t="s">
        <v>887</v>
      </c>
      <c r="C76" s="9">
        <v>0</v>
      </c>
      <c r="D76" s="11" t="s">
        <v>888</v>
      </c>
      <c r="E76" s="9">
        <v>72</v>
      </c>
      <c r="F76" s="9" t="s">
        <v>889</v>
      </c>
      <c r="G76" s="9">
        <f>5.2*4.2*6.6</f>
        <v>144.144</v>
      </c>
      <c r="H76" s="9">
        <f t="shared" si="1"/>
        <v>74.95488</v>
      </c>
      <c r="I76" s="9"/>
      <c r="J76" s="9"/>
      <c r="K76" s="9"/>
    </row>
    <row r="77" ht="17.65" spans="1:11">
      <c r="A77" s="8">
        <v>76</v>
      </c>
      <c r="B77" s="56" t="s">
        <v>890</v>
      </c>
      <c r="C77" s="9">
        <v>0</v>
      </c>
      <c r="D77" s="10" t="s">
        <v>891</v>
      </c>
      <c r="E77" s="9">
        <v>59</v>
      </c>
      <c r="F77" s="9" t="s">
        <v>892</v>
      </c>
      <c r="G77" s="9">
        <f>6.1*5.1*4.9</f>
        <v>152.439</v>
      </c>
      <c r="H77" s="9">
        <f t="shared" si="1"/>
        <v>79.26828</v>
      </c>
      <c r="I77" s="9"/>
      <c r="J77" s="9" t="s">
        <v>21</v>
      </c>
      <c r="K77" s="9"/>
    </row>
    <row r="78" ht="17.65" spans="1:11">
      <c r="A78" s="8">
        <v>77</v>
      </c>
      <c r="B78" s="56" t="s">
        <v>893</v>
      </c>
      <c r="C78" s="9">
        <v>0</v>
      </c>
      <c r="D78" s="9" t="s">
        <v>894</v>
      </c>
      <c r="E78" s="9">
        <v>69</v>
      </c>
      <c r="F78" s="9" t="s">
        <v>895</v>
      </c>
      <c r="G78" s="9">
        <f>5.3*5.5*3.2</f>
        <v>93.28</v>
      </c>
      <c r="H78" s="9">
        <f t="shared" si="1"/>
        <v>48.5056</v>
      </c>
      <c r="I78" s="9"/>
      <c r="J78" s="9"/>
      <c r="K78" s="9"/>
    </row>
    <row r="79" ht="17.65" spans="1:11">
      <c r="A79" s="8">
        <v>78</v>
      </c>
      <c r="B79" s="56" t="s">
        <v>896</v>
      </c>
      <c r="C79" s="9">
        <v>0</v>
      </c>
      <c r="D79" s="10" t="s">
        <v>897</v>
      </c>
      <c r="E79" s="9">
        <v>68</v>
      </c>
      <c r="F79" s="9" t="s">
        <v>898</v>
      </c>
      <c r="G79" s="9">
        <f>5.6*6.2*4.5</f>
        <v>156.24</v>
      </c>
      <c r="H79" s="9">
        <f t="shared" si="1"/>
        <v>81.2448</v>
      </c>
      <c r="I79" s="9"/>
      <c r="J79" s="9"/>
      <c r="K79" s="9"/>
    </row>
    <row r="80" ht="17.65" spans="1:11">
      <c r="A80" s="8">
        <v>79</v>
      </c>
      <c r="B80" s="61" t="s">
        <v>899</v>
      </c>
      <c r="C80" s="9">
        <v>0</v>
      </c>
      <c r="D80" s="10" t="s">
        <v>900</v>
      </c>
      <c r="E80" s="9">
        <v>66</v>
      </c>
      <c r="F80" s="9" t="s">
        <v>901</v>
      </c>
      <c r="G80" s="9">
        <f>5.6*4.4*5.2</f>
        <v>128.128</v>
      </c>
      <c r="H80" s="9">
        <f t="shared" si="1"/>
        <v>66.62656</v>
      </c>
      <c r="I80" s="9"/>
      <c r="J80" s="9"/>
      <c r="K80" s="9"/>
    </row>
    <row r="81" ht="17.65" spans="1:11">
      <c r="A81" s="8">
        <v>80</v>
      </c>
      <c r="B81" s="62" t="s">
        <v>902</v>
      </c>
      <c r="C81" s="9">
        <v>0</v>
      </c>
      <c r="D81" s="11" t="s">
        <v>903</v>
      </c>
      <c r="E81" s="9">
        <v>67</v>
      </c>
      <c r="F81" s="9" t="s">
        <v>904</v>
      </c>
      <c r="G81" s="9">
        <f>5.8*4.8*4.1</f>
        <v>114.144</v>
      </c>
      <c r="H81" s="9">
        <f t="shared" si="1"/>
        <v>59.35488</v>
      </c>
      <c r="I81" s="9"/>
      <c r="J81" s="9"/>
      <c r="K81" s="9"/>
    </row>
    <row r="82" ht="17.65" spans="1:11">
      <c r="A82" s="8">
        <v>81</v>
      </c>
      <c r="B82" s="56" t="s">
        <v>905</v>
      </c>
      <c r="C82" s="9">
        <v>0</v>
      </c>
      <c r="D82" s="9" t="s">
        <v>906</v>
      </c>
      <c r="E82" s="9">
        <v>66</v>
      </c>
      <c r="F82" s="9" t="s">
        <v>907</v>
      </c>
      <c r="G82" s="9">
        <f>5.4*4.6*5.9</f>
        <v>146.556</v>
      </c>
      <c r="H82" s="9">
        <f t="shared" si="1"/>
        <v>76.20912</v>
      </c>
      <c r="I82" s="9"/>
      <c r="J82" s="9"/>
      <c r="K82" s="9"/>
    </row>
    <row r="83" ht="17.65" spans="1:11">
      <c r="A83" s="8">
        <v>82</v>
      </c>
      <c r="B83" s="62" t="s">
        <v>908</v>
      </c>
      <c r="C83" s="9">
        <v>0</v>
      </c>
      <c r="D83" s="11" t="s">
        <v>909</v>
      </c>
      <c r="E83" s="9">
        <v>78</v>
      </c>
      <c r="F83" s="9" t="s">
        <v>910</v>
      </c>
      <c r="G83" s="9">
        <f>6.4*6*4.5</f>
        <v>172.8</v>
      </c>
      <c r="H83" s="9">
        <f t="shared" si="1"/>
        <v>89.856</v>
      </c>
      <c r="I83" s="9"/>
      <c r="J83" s="9"/>
      <c r="K83" s="9"/>
    </row>
    <row r="84" ht="17.65" spans="1:11">
      <c r="A84" s="8">
        <v>83</v>
      </c>
      <c r="B84" s="56" t="s">
        <v>911</v>
      </c>
      <c r="C84" s="9">
        <v>0</v>
      </c>
      <c r="D84" s="10" t="s">
        <v>912</v>
      </c>
      <c r="E84" s="9">
        <v>77</v>
      </c>
      <c r="F84" s="9" t="s">
        <v>913</v>
      </c>
      <c r="G84" s="9">
        <f>6.3*5.6*6.7</f>
        <v>236.376</v>
      </c>
      <c r="H84" s="9">
        <f t="shared" si="1"/>
        <v>122.91552</v>
      </c>
      <c r="I84" s="9">
        <v>5</v>
      </c>
      <c r="J84" s="9"/>
      <c r="K84" s="9" t="s">
        <v>21</v>
      </c>
    </row>
    <row r="85" ht="17.65" spans="1:11">
      <c r="A85" s="8">
        <v>84</v>
      </c>
      <c r="B85" s="56" t="s">
        <v>914</v>
      </c>
      <c r="C85" s="9">
        <v>0</v>
      </c>
      <c r="D85" s="10" t="s">
        <v>915</v>
      </c>
      <c r="E85" s="9">
        <v>69</v>
      </c>
      <c r="F85" s="9" t="s">
        <v>916</v>
      </c>
      <c r="G85" s="9">
        <f>5.7*4.2*3.8</f>
        <v>90.972</v>
      </c>
      <c r="H85" s="9">
        <f t="shared" si="1"/>
        <v>47.30544</v>
      </c>
      <c r="I85" s="9">
        <v>8</v>
      </c>
      <c r="J85" s="9"/>
      <c r="K85" s="9"/>
    </row>
    <row r="86" ht="17.65" spans="1:11">
      <c r="A86" s="8">
        <v>85</v>
      </c>
      <c r="B86" s="61" t="s">
        <v>917</v>
      </c>
      <c r="C86" s="9">
        <v>0</v>
      </c>
      <c r="D86" s="10" t="s">
        <v>918</v>
      </c>
      <c r="E86" s="9">
        <v>60</v>
      </c>
      <c r="F86" s="9" t="s">
        <v>919</v>
      </c>
      <c r="G86" s="9">
        <f>5.7*5.4*4.3</f>
        <v>132.354</v>
      </c>
      <c r="H86" s="9">
        <f t="shared" si="1"/>
        <v>68.82408</v>
      </c>
      <c r="I86" s="9">
        <v>1</v>
      </c>
      <c r="J86" s="9"/>
      <c r="K86" s="9" t="s">
        <v>21</v>
      </c>
    </row>
    <row r="87" ht="17.65" spans="1:11">
      <c r="A87" s="8">
        <v>86</v>
      </c>
      <c r="B87" s="56" t="s">
        <v>920</v>
      </c>
      <c r="C87" s="9">
        <v>0</v>
      </c>
      <c r="D87" s="10" t="s">
        <v>921</v>
      </c>
      <c r="E87" s="9">
        <v>84</v>
      </c>
      <c r="F87" s="9" t="s">
        <v>922</v>
      </c>
      <c r="G87" s="9">
        <f>5.5*5.1*6</f>
        <v>168.3</v>
      </c>
      <c r="H87" s="9">
        <f t="shared" si="1"/>
        <v>87.516</v>
      </c>
      <c r="I87" s="9"/>
      <c r="J87" s="9"/>
      <c r="K87" s="9"/>
    </row>
    <row r="88" ht="17.65" spans="1:11">
      <c r="A88" s="8">
        <v>87</v>
      </c>
      <c r="B88" s="61" t="s">
        <v>923</v>
      </c>
      <c r="C88" s="9">
        <v>0</v>
      </c>
      <c r="D88" s="10" t="s">
        <v>924</v>
      </c>
      <c r="E88" s="10">
        <v>77</v>
      </c>
      <c r="F88" s="9" t="s">
        <v>925</v>
      </c>
      <c r="G88" s="9">
        <f>6.7*5*4.6</f>
        <v>154.1</v>
      </c>
      <c r="H88" s="9">
        <f t="shared" si="1"/>
        <v>80.132</v>
      </c>
      <c r="I88" s="9"/>
      <c r="J88" s="9"/>
      <c r="K88" s="9"/>
    </row>
    <row r="89" ht="17.65" spans="1:11">
      <c r="A89" s="8">
        <v>88</v>
      </c>
      <c r="B89" s="62" t="s">
        <v>926</v>
      </c>
      <c r="C89" s="9">
        <v>0</v>
      </c>
      <c r="D89" s="11" t="s">
        <v>927</v>
      </c>
      <c r="E89" s="9">
        <v>81</v>
      </c>
      <c r="F89" s="9" t="s">
        <v>928</v>
      </c>
      <c r="G89" s="9">
        <f>4.9*4.5*4.3</f>
        <v>94.815</v>
      </c>
      <c r="H89" s="9">
        <f t="shared" si="1"/>
        <v>49.3038</v>
      </c>
      <c r="I89" s="9">
        <v>2</v>
      </c>
      <c r="J89" s="9" t="s">
        <v>21</v>
      </c>
      <c r="K89" s="9" t="s">
        <v>21</v>
      </c>
    </row>
    <row r="90" ht="17.65" spans="1:11">
      <c r="A90" s="8">
        <v>89</v>
      </c>
      <c r="B90" s="61" t="s">
        <v>929</v>
      </c>
      <c r="C90" s="9">
        <v>0</v>
      </c>
      <c r="D90" s="10" t="s">
        <v>930</v>
      </c>
      <c r="E90" s="10">
        <v>63</v>
      </c>
      <c r="F90" s="9" t="s">
        <v>931</v>
      </c>
      <c r="G90" s="9">
        <f>4.6*3.5*4.3</f>
        <v>69.23</v>
      </c>
      <c r="H90" s="9">
        <f t="shared" si="1"/>
        <v>35.9996</v>
      </c>
      <c r="I90" s="9">
        <v>1</v>
      </c>
      <c r="J90" s="9"/>
      <c r="K90" s="9"/>
    </row>
    <row r="91" ht="17.65" spans="1:11">
      <c r="A91" s="8">
        <v>90</v>
      </c>
      <c r="B91" s="56" t="s">
        <v>932</v>
      </c>
      <c r="C91" s="9">
        <v>0</v>
      </c>
      <c r="D91" s="9" t="s">
        <v>933</v>
      </c>
      <c r="E91" s="9">
        <v>59</v>
      </c>
      <c r="F91" s="9" t="s">
        <v>934</v>
      </c>
      <c r="G91" s="9">
        <f>6.1*5.4*6.9</f>
        <v>227.286</v>
      </c>
      <c r="H91" s="9">
        <f t="shared" si="1"/>
        <v>118.18872</v>
      </c>
      <c r="I91" s="9"/>
      <c r="J91" s="9"/>
      <c r="K91" s="9"/>
    </row>
    <row r="92" ht="17.65" spans="1:11">
      <c r="A92" s="8">
        <v>91</v>
      </c>
      <c r="B92" s="56" t="s">
        <v>935</v>
      </c>
      <c r="C92" s="9">
        <v>0</v>
      </c>
      <c r="D92" s="10" t="s">
        <v>936</v>
      </c>
      <c r="E92" s="9">
        <v>72</v>
      </c>
      <c r="F92" s="9" t="s">
        <v>937</v>
      </c>
      <c r="G92" s="9">
        <f>5.2*4.6*3.8</f>
        <v>90.896</v>
      </c>
      <c r="H92" s="9">
        <f t="shared" si="1"/>
        <v>47.26592</v>
      </c>
      <c r="I92" s="9"/>
      <c r="J92" s="9"/>
      <c r="K92" s="9"/>
    </row>
    <row r="93" ht="17.65" spans="1:11">
      <c r="A93" s="8">
        <v>92</v>
      </c>
      <c r="B93" s="56" t="s">
        <v>938</v>
      </c>
      <c r="C93" s="9">
        <v>0</v>
      </c>
      <c r="D93" s="10" t="s">
        <v>939</v>
      </c>
      <c r="E93" s="9">
        <v>64</v>
      </c>
      <c r="F93" s="9" t="s">
        <v>940</v>
      </c>
      <c r="G93" s="9">
        <f>6*6.2*4.8</f>
        <v>178.56</v>
      </c>
      <c r="H93" s="9">
        <f t="shared" si="1"/>
        <v>92.8512</v>
      </c>
      <c r="I93" s="9"/>
      <c r="J93" s="9"/>
      <c r="K93" s="9" t="s">
        <v>21</v>
      </c>
    </row>
    <row r="94" ht="17.65" spans="1:11">
      <c r="A94" s="8">
        <v>93</v>
      </c>
      <c r="B94" s="62" t="s">
        <v>941</v>
      </c>
      <c r="C94" s="9">
        <v>0</v>
      </c>
      <c r="D94" s="11" t="s">
        <v>942</v>
      </c>
      <c r="E94" s="9">
        <v>66</v>
      </c>
      <c r="F94" s="9" t="s">
        <v>943</v>
      </c>
      <c r="G94" s="9">
        <f>6*4.4*6.8</f>
        <v>179.52</v>
      </c>
      <c r="H94" s="9">
        <f t="shared" si="1"/>
        <v>93.3504</v>
      </c>
      <c r="I94" s="9"/>
      <c r="J94" s="9"/>
      <c r="K94" s="9"/>
    </row>
    <row r="95" ht="17.65" spans="1:11">
      <c r="A95" s="8">
        <v>94</v>
      </c>
      <c r="B95" s="62" t="s">
        <v>944</v>
      </c>
      <c r="C95" s="9">
        <v>0</v>
      </c>
      <c r="D95" s="11" t="s">
        <v>945</v>
      </c>
      <c r="E95" s="9">
        <v>58</v>
      </c>
      <c r="F95" s="9" t="s">
        <v>946</v>
      </c>
      <c r="G95" s="9">
        <f>6.7*6*5.2</f>
        <v>209.04</v>
      </c>
      <c r="H95" s="9">
        <f t="shared" si="1"/>
        <v>108.7008</v>
      </c>
      <c r="I95" s="9"/>
      <c r="J95" s="9"/>
      <c r="K95" s="9"/>
    </row>
    <row r="96" ht="17.65" spans="1:11">
      <c r="A96" s="8">
        <v>95</v>
      </c>
      <c r="B96" s="61" t="s">
        <v>947</v>
      </c>
      <c r="C96" s="9">
        <v>0</v>
      </c>
      <c r="D96" s="10" t="s">
        <v>948</v>
      </c>
      <c r="E96" s="9">
        <v>64</v>
      </c>
      <c r="F96" s="9" t="s">
        <v>949</v>
      </c>
      <c r="G96" s="9">
        <f>6.1*4.8*6.4</f>
        <v>187.392</v>
      </c>
      <c r="H96" s="9">
        <f t="shared" si="1"/>
        <v>97.44384</v>
      </c>
      <c r="I96" s="9"/>
      <c r="J96" s="9"/>
      <c r="K96" s="9"/>
    </row>
    <row r="97" ht="17.65" spans="1:11">
      <c r="A97" s="8">
        <v>96</v>
      </c>
      <c r="B97" s="62" t="s">
        <v>950</v>
      </c>
      <c r="C97" s="9">
        <v>0</v>
      </c>
      <c r="D97" s="11" t="s">
        <v>951</v>
      </c>
      <c r="E97" s="9">
        <v>68</v>
      </c>
      <c r="F97" s="9" t="s">
        <v>952</v>
      </c>
      <c r="G97" s="9">
        <f>4.6*3.1*3.8</f>
        <v>54.188</v>
      </c>
      <c r="H97" s="9">
        <f t="shared" si="1"/>
        <v>28.17776</v>
      </c>
      <c r="I97" s="9"/>
      <c r="J97" s="9"/>
      <c r="K97" s="9"/>
    </row>
    <row r="98" ht="17.65" spans="1:11">
      <c r="A98" s="8">
        <v>97</v>
      </c>
      <c r="B98" s="62" t="s">
        <v>953</v>
      </c>
      <c r="C98" s="9">
        <v>0</v>
      </c>
      <c r="D98" s="11" t="s">
        <v>954</v>
      </c>
      <c r="E98" s="9">
        <v>70</v>
      </c>
      <c r="F98" s="9" t="s">
        <v>955</v>
      </c>
      <c r="G98" s="9">
        <f>5.2*3.8*5.3</f>
        <v>104.728</v>
      </c>
      <c r="H98" s="9">
        <f t="shared" si="1"/>
        <v>54.45856</v>
      </c>
      <c r="I98" s="9"/>
      <c r="J98" s="9"/>
      <c r="K98" s="9"/>
    </row>
    <row r="99" ht="17.65" spans="1:11">
      <c r="A99" s="8">
        <v>98</v>
      </c>
      <c r="B99" s="62" t="s">
        <v>956</v>
      </c>
      <c r="C99" s="9">
        <v>0</v>
      </c>
      <c r="D99" s="11" t="s">
        <v>957</v>
      </c>
      <c r="E99" s="9">
        <v>75</v>
      </c>
      <c r="F99" s="9" t="s">
        <v>958</v>
      </c>
      <c r="G99" s="9">
        <f>6.1*6.2*4.9</f>
        <v>185.318</v>
      </c>
      <c r="H99" s="9">
        <f t="shared" si="1"/>
        <v>96.36536</v>
      </c>
      <c r="I99" s="9"/>
      <c r="J99" s="9"/>
      <c r="K99" s="9"/>
    </row>
    <row r="100" ht="17.65" spans="1:11">
      <c r="A100" s="8">
        <v>99</v>
      </c>
      <c r="B100" s="56" t="s">
        <v>959</v>
      </c>
      <c r="C100" s="9">
        <v>0</v>
      </c>
      <c r="D100" s="10" t="s">
        <v>960</v>
      </c>
      <c r="E100" s="9">
        <v>65</v>
      </c>
      <c r="F100" s="9" t="s">
        <v>961</v>
      </c>
      <c r="G100" s="9">
        <f>5.6*4.2*4.4</f>
        <v>103.488</v>
      </c>
      <c r="H100" s="9">
        <f t="shared" si="1"/>
        <v>53.81376</v>
      </c>
      <c r="I100" s="9">
        <v>5</v>
      </c>
      <c r="J100" s="9"/>
      <c r="K100" s="9"/>
    </row>
    <row r="101" ht="17.65" spans="1:11">
      <c r="A101" s="8">
        <v>100</v>
      </c>
      <c r="B101" s="56" t="s">
        <v>962</v>
      </c>
      <c r="C101" s="9">
        <v>0</v>
      </c>
      <c r="D101" s="10" t="s">
        <v>963</v>
      </c>
      <c r="E101" s="9">
        <v>77</v>
      </c>
      <c r="F101" s="9" t="s">
        <v>964</v>
      </c>
      <c r="G101" s="9">
        <f>6.8*7*5.8</f>
        <v>276.08</v>
      </c>
      <c r="H101" s="9">
        <f t="shared" si="1"/>
        <v>143.5616</v>
      </c>
      <c r="I101" s="9"/>
      <c r="J101" s="9"/>
      <c r="K101" s="9"/>
    </row>
    <row r="102" ht="17.65" spans="1:11">
      <c r="A102" s="8">
        <v>101</v>
      </c>
      <c r="B102" s="61" t="s">
        <v>965</v>
      </c>
      <c r="C102" s="9">
        <v>0</v>
      </c>
      <c r="D102" s="10" t="s">
        <v>966</v>
      </c>
      <c r="E102" s="9">
        <v>77</v>
      </c>
      <c r="F102" s="9" t="s">
        <v>967</v>
      </c>
      <c r="G102" s="9">
        <f>6.7*8.7*5.9</f>
        <v>343.911</v>
      </c>
      <c r="H102" s="9">
        <f t="shared" si="1"/>
        <v>178.83372</v>
      </c>
      <c r="I102" s="9"/>
      <c r="J102" s="9"/>
      <c r="K102" s="9"/>
    </row>
    <row r="103" ht="17.65" spans="1:11">
      <c r="A103" s="8">
        <v>102</v>
      </c>
      <c r="B103" s="62" t="s">
        <v>968</v>
      </c>
      <c r="C103" s="9">
        <v>0</v>
      </c>
      <c r="D103" s="11" t="s">
        <v>969</v>
      </c>
      <c r="E103" s="9">
        <v>75</v>
      </c>
      <c r="F103" s="9" t="s">
        <v>970</v>
      </c>
      <c r="G103" s="9">
        <f>6.7*8.2*5.5</f>
        <v>302.17</v>
      </c>
      <c r="H103" s="9">
        <f t="shared" si="1"/>
        <v>157.1284</v>
      </c>
      <c r="I103" s="9">
        <v>1</v>
      </c>
      <c r="J103" s="9"/>
      <c r="K103" s="9" t="s">
        <v>21</v>
      </c>
    </row>
    <row r="104" ht="17.65" spans="1:11">
      <c r="A104" s="8">
        <v>103</v>
      </c>
      <c r="B104" s="62" t="s">
        <v>971</v>
      </c>
      <c r="C104" s="9">
        <v>0</v>
      </c>
      <c r="D104" s="11" t="s">
        <v>972</v>
      </c>
      <c r="E104" s="9">
        <v>49</v>
      </c>
      <c r="F104" s="9" t="s">
        <v>973</v>
      </c>
      <c r="G104" s="9">
        <f>5.2*4.8*5</f>
        <v>124.8</v>
      </c>
      <c r="H104" s="9">
        <f t="shared" si="1"/>
        <v>64.896</v>
      </c>
      <c r="I104" s="9">
        <v>1</v>
      </c>
      <c r="J104" s="9" t="s">
        <v>21</v>
      </c>
      <c r="K104" s="9" t="s">
        <v>21</v>
      </c>
    </row>
    <row r="105" ht="17.65" spans="1:11">
      <c r="A105" s="8">
        <v>104</v>
      </c>
      <c r="B105" s="62" t="s">
        <v>974</v>
      </c>
      <c r="C105" s="9">
        <v>0</v>
      </c>
      <c r="D105" s="11" t="s">
        <v>975</v>
      </c>
      <c r="E105" s="9">
        <v>81</v>
      </c>
      <c r="F105" s="9" t="s">
        <v>976</v>
      </c>
      <c r="G105" s="9">
        <f>4.8*4.6*4.2</f>
        <v>92.736</v>
      </c>
      <c r="H105" s="9">
        <f t="shared" si="1"/>
        <v>48.22272</v>
      </c>
      <c r="I105" s="9"/>
      <c r="J105" s="9"/>
      <c r="K105" s="9"/>
    </row>
    <row r="106" ht="17.65" spans="1:11">
      <c r="A106" s="8">
        <v>105</v>
      </c>
      <c r="B106" s="62" t="s">
        <v>977</v>
      </c>
      <c r="C106" s="9">
        <v>0</v>
      </c>
      <c r="D106" s="11" t="s">
        <v>978</v>
      </c>
      <c r="E106" s="9">
        <v>69</v>
      </c>
      <c r="F106" s="9" t="s">
        <v>979</v>
      </c>
      <c r="G106" s="9">
        <f>4.5*4.9*3.9</f>
        <v>85.995</v>
      </c>
      <c r="H106" s="9">
        <f t="shared" si="1"/>
        <v>44.7174</v>
      </c>
      <c r="I106" s="9">
        <v>1</v>
      </c>
      <c r="J106" s="9" t="s">
        <v>21</v>
      </c>
      <c r="K106" s="9" t="s">
        <v>21</v>
      </c>
    </row>
    <row r="107" ht="17.65" spans="1:11">
      <c r="A107" s="8">
        <v>106</v>
      </c>
      <c r="B107" s="62" t="s">
        <v>980</v>
      </c>
      <c r="C107" s="9">
        <v>0</v>
      </c>
      <c r="D107" s="11" t="s">
        <v>981</v>
      </c>
      <c r="E107" s="9">
        <v>64</v>
      </c>
      <c r="F107" s="9" t="s">
        <v>982</v>
      </c>
      <c r="G107" s="9">
        <f>5.3*4.9*5.6</f>
        <v>145.432</v>
      </c>
      <c r="H107" s="9">
        <f t="shared" si="1"/>
        <v>75.62464</v>
      </c>
      <c r="I107" s="9"/>
      <c r="J107" s="9" t="s">
        <v>21</v>
      </c>
      <c r="K107" s="9" t="s">
        <v>21</v>
      </c>
    </row>
    <row r="108" ht="17.65" spans="1:11">
      <c r="A108" s="8">
        <v>107</v>
      </c>
      <c r="B108" s="56" t="s">
        <v>983</v>
      </c>
      <c r="C108" s="9">
        <v>0</v>
      </c>
      <c r="D108" s="10" t="s">
        <v>984</v>
      </c>
      <c r="E108" s="9">
        <v>70</v>
      </c>
      <c r="F108" s="9" t="s">
        <v>985</v>
      </c>
      <c r="G108" s="9">
        <f>5.1*5.9*4.9</f>
        <v>147.441</v>
      </c>
      <c r="H108" s="9">
        <f t="shared" si="1"/>
        <v>76.66932</v>
      </c>
      <c r="I108" s="9"/>
      <c r="J108" s="9"/>
      <c r="K108" s="9"/>
    </row>
    <row r="109" ht="17.65" spans="1:11">
      <c r="A109" s="8">
        <v>108</v>
      </c>
      <c r="B109" s="56" t="s">
        <v>986</v>
      </c>
      <c r="C109" s="9">
        <v>0</v>
      </c>
      <c r="D109" s="10" t="s">
        <v>987</v>
      </c>
      <c r="E109" s="9">
        <v>64</v>
      </c>
      <c r="F109" s="9" t="s">
        <v>988</v>
      </c>
      <c r="G109" s="9">
        <f>5.4*5.6*4.9</f>
        <v>148.176</v>
      </c>
      <c r="H109" s="9">
        <f t="shared" si="1"/>
        <v>77.05152</v>
      </c>
      <c r="I109" s="9"/>
      <c r="J109" s="9"/>
      <c r="K109" s="9" t="s">
        <v>21</v>
      </c>
    </row>
    <row r="110" ht="17.65" spans="1:11">
      <c r="A110" s="8">
        <v>109</v>
      </c>
      <c r="B110" s="56" t="s">
        <v>989</v>
      </c>
      <c r="C110" s="9">
        <v>0</v>
      </c>
      <c r="D110" s="10" t="s">
        <v>990</v>
      </c>
      <c r="E110" s="9">
        <v>76</v>
      </c>
      <c r="F110" s="9" t="s">
        <v>991</v>
      </c>
      <c r="G110" s="9">
        <f>5.5*4.7*4.3</f>
        <v>111.155</v>
      </c>
      <c r="H110" s="9">
        <f t="shared" si="1"/>
        <v>57.8006</v>
      </c>
      <c r="I110" s="9"/>
      <c r="J110" s="9"/>
      <c r="K110" s="9"/>
    </row>
    <row r="111" ht="17.65" spans="1:11">
      <c r="A111" s="8">
        <v>110</v>
      </c>
      <c r="B111" s="56" t="s">
        <v>992</v>
      </c>
      <c r="C111" s="9">
        <v>0</v>
      </c>
      <c r="D111" s="10" t="s">
        <v>993</v>
      </c>
      <c r="E111" s="9">
        <v>69</v>
      </c>
      <c r="F111" s="9" t="s">
        <v>994</v>
      </c>
      <c r="G111" s="9">
        <f>5.4*4*4.5</f>
        <v>97.2</v>
      </c>
      <c r="H111" s="9">
        <f t="shared" si="1"/>
        <v>50.544</v>
      </c>
      <c r="I111" s="9"/>
      <c r="J111" s="9"/>
      <c r="K111" s="9"/>
    </row>
    <row r="112" ht="17.65" spans="1:11">
      <c r="A112" s="8">
        <v>111</v>
      </c>
      <c r="B112" s="61" t="s">
        <v>995</v>
      </c>
      <c r="C112" s="9">
        <v>0</v>
      </c>
      <c r="D112" s="10" t="s">
        <v>996</v>
      </c>
      <c r="E112" s="10">
        <v>57</v>
      </c>
      <c r="F112" s="9" t="s">
        <v>997</v>
      </c>
      <c r="G112" s="9">
        <f>5.1*4.1*5.3</f>
        <v>110.823</v>
      </c>
      <c r="H112" s="9">
        <f t="shared" si="1"/>
        <v>57.62796</v>
      </c>
      <c r="I112" s="9">
        <v>1</v>
      </c>
      <c r="J112" s="9"/>
      <c r="K112" s="9" t="s">
        <v>21</v>
      </c>
    </row>
    <row r="113" ht="17.65" spans="1:11">
      <c r="A113" s="8">
        <v>112</v>
      </c>
      <c r="B113" s="62" t="s">
        <v>998</v>
      </c>
      <c r="C113" s="9">
        <v>0</v>
      </c>
      <c r="D113" s="11" t="s">
        <v>999</v>
      </c>
      <c r="E113" s="9">
        <v>57</v>
      </c>
      <c r="F113" s="9" t="s">
        <v>1000</v>
      </c>
      <c r="G113" s="9">
        <f>5.7*4.7*5.8</f>
        <v>155.382</v>
      </c>
      <c r="H113" s="9">
        <f t="shared" si="1"/>
        <v>80.79864</v>
      </c>
      <c r="I113" s="9"/>
      <c r="J113" s="9"/>
      <c r="K113" s="9"/>
    </row>
    <row r="114" ht="17.65" spans="1:11">
      <c r="A114" s="8">
        <v>113</v>
      </c>
      <c r="B114" s="62" t="s">
        <v>1001</v>
      </c>
      <c r="C114" s="9">
        <v>0</v>
      </c>
      <c r="D114" s="11" t="s">
        <v>1002</v>
      </c>
      <c r="E114" s="9">
        <v>60</v>
      </c>
      <c r="F114" s="9" t="s">
        <v>1003</v>
      </c>
      <c r="G114" s="9">
        <f>6.2*3.8*4.7</f>
        <v>110.732</v>
      </c>
      <c r="H114" s="9">
        <f t="shared" si="1"/>
        <v>57.58064</v>
      </c>
      <c r="I114" s="9"/>
      <c r="J114" s="9"/>
      <c r="K114" s="9"/>
    </row>
    <row r="115" ht="17.65" spans="1:11">
      <c r="A115" s="8">
        <v>114</v>
      </c>
      <c r="B115" s="62" t="s">
        <v>1004</v>
      </c>
      <c r="C115" s="9">
        <v>0</v>
      </c>
      <c r="D115" s="11" t="s">
        <v>1005</v>
      </c>
      <c r="E115" s="9">
        <v>80</v>
      </c>
      <c r="F115" s="9" t="s">
        <v>1006</v>
      </c>
      <c r="G115" s="9">
        <f>6.9*5.8*6.2</f>
        <v>248.124</v>
      </c>
      <c r="H115" s="9">
        <f t="shared" si="1"/>
        <v>129.02448</v>
      </c>
      <c r="I115" s="9"/>
      <c r="J115" s="9"/>
      <c r="K115" s="9"/>
    </row>
    <row r="116" ht="17.65" spans="1:11">
      <c r="A116" s="8">
        <v>115</v>
      </c>
      <c r="B116" s="62" t="s">
        <v>1007</v>
      </c>
      <c r="C116" s="9">
        <v>0</v>
      </c>
      <c r="D116" s="11" t="s">
        <v>1008</v>
      </c>
      <c r="E116" s="9">
        <v>70</v>
      </c>
      <c r="F116" s="9" t="s">
        <v>1009</v>
      </c>
      <c r="G116" s="9">
        <f>5.3*3*3.7</f>
        <v>58.83</v>
      </c>
      <c r="H116" s="9">
        <f t="shared" si="1"/>
        <v>30.5916</v>
      </c>
      <c r="I116" s="9"/>
      <c r="J116" s="9"/>
      <c r="K116" s="9"/>
    </row>
    <row r="117" ht="17.65" spans="1:11">
      <c r="A117" s="8">
        <v>116</v>
      </c>
      <c r="B117" s="61" t="s">
        <v>1010</v>
      </c>
      <c r="C117" s="9">
        <v>0</v>
      </c>
      <c r="D117" s="10" t="s">
        <v>1011</v>
      </c>
      <c r="E117" s="9">
        <v>83</v>
      </c>
      <c r="F117" s="9" t="s">
        <v>1012</v>
      </c>
      <c r="G117" s="9">
        <f>4.9*4.4*4.5</f>
        <v>97.02</v>
      </c>
      <c r="H117" s="9">
        <f t="shared" si="1"/>
        <v>50.4504</v>
      </c>
      <c r="I117" s="9"/>
      <c r="J117" s="9"/>
      <c r="K117" s="9"/>
    </row>
    <row r="118" s="1" customFormat="1" ht="17.65" spans="1:11">
      <c r="A118" s="13">
        <v>117</v>
      </c>
      <c r="B118" s="64" t="s">
        <v>1013</v>
      </c>
      <c r="C118" s="15">
        <v>0</v>
      </c>
      <c r="D118" s="14" t="s">
        <v>1014</v>
      </c>
      <c r="E118" s="14">
        <v>74</v>
      </c>
      <c r="F118" s="15" t="s">
        <v>1015</v>
      </c>
      <c r="G118" s="15">
        <f>6.2*5.2*8.7</f>
        <v>280.488</v>
      </c>
      <c r="H118" s="15">
        <f t="shared" si="1"/>
        <v>145.85376</v>
      </c>
      <c r="I118" s="15">
        <v>5</v>
      </c>
      <c r="J118" s="15"/>
      <c r="K118" s="15" t="s">
        <v>21</v>
      </c>
    </row>
    <row r="119" ht="17.65" spans="1:11">
      <c r="A119" s="8">
        <v>118</v>
      </c>
      <c r="B119" s="62" t="s">
        <v>1016</v>
      </c>
      <c r="C119" s="9">
        <v>0</v>
      </c>
      <c r="D119" s="11" t="s">
        <v>1017</v>
      </c>
      <c r="E119" s="9">
        <v>81</v>
      </c>
      <c r="F119" s="9" t="s">
        <v>1018</v>
      </c>
      <c r="G119" s="9">
        <f>5.4*5.6*3.9</f>
        <v>117.936</v>
      </c>
      <c r="H119" s="9">
        <f t="shared" si="1"/>
        <v>61.32672</v>
      </c>
      <c r="I119" s="9"/>
      <c r="J119" s="9"/>
      <c r="K119" s="9"/>
    </row>
    <row r="120" ht="17.65" spans="1:11">
      <c r="A120" s="8">
        <v>119</v>
      </c>
      <c r="B120" s="56" t="s">
        <v>1019</v>
      </c>
      <c r="C120" s="9">
        <v>0</v>
      </c>
      <c r="D120" s="10" t="s">
        <v>1020</v>
      </c>
      <c r="E120" s="9">
        <v>87</v>
      </c>
      <c r="F120" s="9" t="s">
        <v>1021</v>
      </c>
      <c r="G120" s="9">
        <f>5*5.3*4.6</f>
        <v>121.9</v>
      </c>
      <c r="H120" s="9">
        <f t="shared" si="1"/>
        <v>63.388</v>
      </c>
      <c r="I120" s="9"/>
      <c r="J120" s="9"/>
      <c r="K120" s="9"/>
    </row>
    <row r="121" ht="17.65" spans="1:11">
      <c r="A121" s="8">
        <v>120</v>
      </c>
      <c r="B121" s="62" t="s">
        <v>1022</v>
      </c>
      <c r="C121" s="9">
        <v>0</v>
      </c>
      <c r="D121" s="11" t="s">
        <v>1023</v>
      </c>
      <c r="E121" s="9">
        <v>64</v>
      </c>
      <c r="F121" s="9" t="s">
        <v>1024</v>
      </c>
      <c r="G121" s="9">
        <f>5.3*5.8*4.7</f>
        <v>144.478</v>
      </c>
      <c r="H121" s="9">
        <f t="shared" si="1"/>
        <v>75.12856</v>
      </c>
      <c r="I121" s="9"/>
      <c r="J121" s="9"/>
      <c r="K121" s="9"/>
    </row>
    <row r="122" ht="17.65" spans="1:11">
      <c r="A122" s="8">
        <v>121</v>
      </c>
      <c r="B122" s="62" t="s">
        <v>1025</v>
      </c>
      <c r="C122" s="9">
        <v>0</v>
      </c>
      <c r="D122" s="11" t="s">
        <v>1026</v>
      </c>
      <c r="E122" s="9">
        <v>67</v>
      </c>
      <c r="F122" s="9" t="s">
        <v>1027</v>
      </c>
      <c r="G122" s="9">
        <f>5.8*4.5*4.5</f>
        <v>117.45</v>
      </c>
      <c r="H122" s="9">
        <f t="shared" si="1"/>
        <v>61.074</v>
      </c>
      <c r="I122" s="9">
        <v>1</v>
      </c>
      <c r="J122" s="9"/>
      <c r="K122" s="9" t="s">
        <v>21</v>
      </c>
    </row>
    <row r="123" ht="17.65" spans="1:11">
      <c r="A123" s="8">
        <v>122</v>
      </c>
      <c r="B123" s="61" t="s">
        <v>1028</v>
      </c>
      <c r="C123" s="9">
        <v>0</v>
      </c>
      <c r="D123" s="10" t="s">
        <v>1029</v>
      </c>
      <c r="E123" s="9">
        <v>76</v>
      </c>
      <c r="F123" s="9" t="s">
        <v>1030</v>
      </c>
      <c r="G123" s="9">
        <f>5.7*6.9*5.2</f>
        <v>204.516</v>
      </c>
      <c r="H123" s="9">
        <f t="shared" si="1"/>
        <v>106.34832</v>
      </c>
      <c r="I123" s="9"/>
      <c r="J123" s="9"/>
      <c r="K123" s="9"/>
    </row>
    <row r="124" ht="17.65" spans="1:11">
      <c r="A124" s="8">
        <v>123</v>
      </c>
      <c r="B124" s="62" t="s">
        <v>1031</v>
      </c>
      <c r="C124" s="9">
        <v>0</v>
      </c>
      <c r="D124" s="11" t="s">
        <v>1032</v>
      </c>
      <c r="E124" s="9">
        <v>79</v>
      </c>
      <c r="F124" s="9" t="s">
        <v>279</v>
      </c>
      <c r="G124" s="9">
        <f>5.5*4.5*6</f>
        <v>148.5</v>
      </c>
      <c r="H124" s="9">
        <f t="shared" si="1"/>
        <v>77.22</v>
      </c>
      <c r="I124" s="9">
        <v>1</v>
      </c>
      <c r="J124" s="9"/>
      <c r="K124" s="9" t="s">
        <v>21</v>
      </c>
    </row>
    <row r="125" ht="17.65" spans="1:11">
      <c r="A125" s="8">
        <v>124</v>
      </c>
      <c r="B125" s="62" t="s">
        <v>1033</v>
      </c>
      <c r="C125" s="9">
        <v>0</v>
      </c>
      <c r="D125" s="11" t="s">
        <v>1034</v>
      </c>
      <c r="E125" s="9">
        <v>51</v>
      </c>
      <c r="F125" s="9" t="s">
        <v>682</v>
      </c>
      <c r="G125" s="9">
        <f>5.6*5.2*4.6</f>
        <v>133.952</v>
      </c>
      <c r="H125" s="9">
        <f t="shared" si="1"/>
        <v>69.65504</v>
      </c>
      <c r="I125" s="9"/>
      <c r="J125" s="9"/>
      <c r="K125" s="9"/>
    </row>
    <row r="126" ht="17.65" spans="1:11">
      <c r="A126" s="8">
        <v>125</v>
      </c>
      <c r="B126" s="61" t="s">
        <v>1035</v>
      </c>
      <c r="C126" s="9">
        <v>0</v>
      </c>
      <c r="D126" s="10" t="s">
        <v>1036</v>
      </c>
      <c r="E126" s="10">
        <v>76</v>
      </c>
      <c r="F126" s="9" t="s">
        <v>1037</v>
      </c>
      <c r="G126" s="9">
        <f>5.4*4.7*3.9</f>
        <v>98.982</v>
      </c>
      <c r="H126" s="9">
        <f t="shared" si="1"/>
        <v>51.47064</v>
      </c>
      <c r="I126" s="9"/>
      <c r="J126" s="9"/>
      <c r="K126" s="9" t="s">
        <v>21</v>
      </c>
    </row>
    <row r="127" ht="17.65" spans="1:11">
      <c r="A127" s="8">
        <v>126</v>
      </c>
      <c r="B127" s="62" t="s">
        <v>1038</v>
      </c>
      <c r="C127" s="9">
        <v>0</v>
      </c>
      <c r="D127" s="11" t="s">
        <v>1039</v>
      </c>
      <c r="E127" s="9">
        <v>61</v>
      </c>
      <c r="F127" s="9" t="s">
        <v>1040</v>
      </c>
      <c r="G127" s="9">
        <f>5*5.9*3.9</f>
        <v>115.05</v>
      </c>
      <c r="H127" s="9">
        <f t="shared" si="1"/>
        <v>59.826</v>
      </c>
      <c r="I127" s="9"/>
      <c r="J127" s="9"/>
      <c r="K127" s="9"/>
    </row>
    <row r="128" ht="17.65" spans="1:11">
      <c r="A128" s="8">
        <v>127</v>
      </c>
      <c r="B128" s="56" t="s">
        <v>1041</v>
      </c>
      <c r="C128" s="9">
        <v>0</v>
      </c>
      <c r="D128" s="10" t="s">
        <v>1042</v>
      </c>
      <c r="E128" s="9">
        <v>74</v>
      </c>
      <c r="F128" s="9" t="s">
        <v>1043</v>
      </c>
      <c r="G128" s="9">
        <f>5.2*4*4.1</f>
        <v>85.28</v>
      </c>
      <c r="H128" s="9">
        <f t="shared" si="1"/>
        <v>44.3456</v>
      </c>
      <c r="I128" s="9">
        <v>5</v>
      </c>
      <c r="J128" s="9"/>
      <c r="K128" s="9" t="s">
        <v>21</v>
      </c>
    </row>
    <row r="129" ht="17.65" spans="1:11">
      <c r="A129" s="8">
        <v>128</v>
      </c>
      <c r="B129" s="62" t="s">
        <v>1044</v>
      </c>
      <c r="C129" s="9">
        <v>0</v>
      </c>
      <c r="D129" s="11" t="s">
        <v>1045</v>
      </c>
      <c r="E129" s="9">
        <v>64</v>
      </c>
      <c r="F129" s="9" t="s">
        <v>1046</v>
      </c>
      <c r="G129" s="9">
        <f>5.8*6.1*5.1</f>
        <v>180.438</v>
      </c>
      <c r="H129" s="9">
        <f t="shared" si="1"/>
        <v>93.82776</v>
      </c>
      <c r="I129" s="9"/>
      <c r="J129" s="9"/>
      <c r="K129" s="9"/>
    </row>
    <row r="130" ht="17.65" spans="1:11">
      <c r="A130" s="8">
        <v>129</v>
      </c>
      <c r="B130" s="61" t="s">
        <v>1047</v>
      </c>
      <c r="C130" s="9">
        <v>0</v>
      </c>
      <c r="D130" s="10" t="s">
        <v>1048</v>
      </c>
      <c r="E130" s="9">
        <v>78</v>
      </c>
      <c r="F130" s="9" t="s">
        <v>1049</v>
      </c>
      <c r="G130" s="9">
        <f>5.3*4.7*5.5</f>
        <v>137.005</v>
      </c>
      <c r="H130" s="9">
        <f t="shared" si="1"/>
        <v>71.2426</v>
      </c>
      <c r="I130" s="9"/>
      <c r="J130" s="9"/>
      <c r="K130" s="9"/>
    </row>
    <row r="131" ht="17.65" spans="1:11">
      <c r="A131" s="8">
        <v>130</v>
      </c>
      <c r="B131" s="62" t="s">
        <v>1050</v>
      </c>
      <c r="C131" s="9">
        <v>0</v>
      </c>
      <c r="D131" s="11" t="s">
        <v>1051</v>
      </c>
      <c r="E131" s="9">
        <v>70</v>
      </c>
      <c r="F131" s="9" t="s">
        <v>1052</v>
      </c>
      <c r="G131" s="9">
        <f>6.2*4.7*7.6</f>
        <v>221.464</v>
      </c>
      <c r="H131" s="9">
        <f t="shared" ref="H131:H194" si="2">G131*0.52</f>
        <v>115.16128</v>
      </c>
      <c r="I131" s="9">
        <v>1</v>
      </c>
      <c r="J131" s="9"/>
      <c r="K131" s="9" t="s">
        <v>21</v>
      </c>
    </row>
    <row r="132" ht="17.65" spans="1:11">
      <c r="A132" s="8">
        <v>131</v>
      </c>
      <c r="B132" s="56" t="s">
        <v>1053</v>
      </c>
      <c r="C132" s="9">
        <v>0</v>
      </c>
      <c r="D132" s="10" t="s">
        <v>1054</v>
      </c>
      <c r="E132" s="9">
        <v>51</v>
      </c>
      <c r="F132" s="9" t="s">
        <v>1055</v>
      </c>
      <c r="G132" s="9">
        <f>5.3*4*4.3</f>
        <v>91.16</v>
      </c>
      <c r="H132" s="9">
        <f t="shared" si="2"/>
        <v>47.4032</v>
      </c>
      <c r="I132" s="9"/>
      <c r="J132" s="9"/>
      <c r="K132" s="9"/>
    </row>
    <row r="133" ht="17.65" spans="1:11">
      <c r="A133" s="8">
        <v>132</v>
      </c>
      <c r="B133" s="62" t="s">
        <v>1056</v>
      </c>
      <c r="C133" s="9">
        <v>0</v>
      </c>
      <c r="D133" s="11" t="s">
        <v>1057</v>
      </c>
      <c r="E133" s="9">
        <v>80</v>
      </c>
      <c r="F133" s="9" t="s">
        <v>1058</v>
      </c>
      <c r="G133" s="9">
        <f>6.2*5.1*6.2</f>
        <v>196.044</v>
      </c>
      <c r="H133" s="9">
        <f t="shared" si="2"/>
        <v>101.94288</v>
      </c>
      <c r="I133" s="9"/>
      <c r="J133" s="9"/>
      <c r="K133" s="9"/>
    </row>
    <row r="134" ht="17.65" spans="1:11">
      <c r="A134" s="8">
        <v>133</v>
      </c>
      <c r="B134" s="56" t="s">
        <v>1059</v>
      </c>
      <c r="C134" s="9">
        <v>0</v>
      </c>
      <c r="D134" s="9" t="s">
        <v>1060</v>
      </c>
      <c r="E134" s="9">
        <v>69</v>
      </c>
      <c r="F134" s="9" t="s">
        <v>1061</v>
      </c>
      <c r="G134" s="9">
        <f>6.3*4.8*6.4</f>
        <v>193.536</v>
      </c>
      <c r="H134" s="9">
        <f t="shared" si="2"/>
        <v>100.63872</v>
      </c>
      <c r="I134" s="9"/>
      <c r="J134" s="9"/>
      <c r="K134" s="9"/>
    </row>
    <row r="135" ht="17.65" spans="1:11">
      <c r="A135" s="8">
        <v>134</v>
      </c>
      <c r="B135" s="62" t="s">
        <v>1062</v>
      </c>
      <c r="C135" s="9">
        <v>0</v>
      </c>
      <c r="D135" s="11" t="s">
        <v>1063</v>
      </c>
      <c r="E135" s="9">
        <v>74</v>
      </c>
      <c r="F135" s="9" t="s">
        <v>1064</v>
      </c>
      <c r="G135" s="9">
        <f>5.8*4.5*6.9</f>
        <v>180.09</v>
      </c>
      <c r="H135" s="9">
        <f t="shared" si="2"/>
        <v>93.6468</v>
      </c>
      <c r="I135" s="9"/>
      <c r="J135" s="9"/>
      <c r="K135" s="9"/>
    </row>
    <row r="136" ht="17.65" spans="1:11">
      <c r="A136" s="8">
        <v>135</v>
      </c>
      <c r="B136" s="56" t="s">
        <v>1065</v>
      </c>
      <c r="C136" s="9">
        <v>0</v>
      </c>
      <c r="D136" s="9" t="s">
        <v>1066</v>
      </c>
      <c r="E136" s="9">
        <v>85</v>
      </c>
      <c r="F136" s="9" t="s">
        <v>1067</v>
      </c>
      <c r="G136" s="9">
        <f>5.5*6*4.5</f>
        <v>148.5</v>
      </c>
      <c r="H136" s="9">
        <f t="shared" si="2"/>
        <v>77.22</v>
      </c>
      <c r="I136" s="9"/>
      <c r="J136" s="9"/>
      <c r="K136" s="9"/>
    </row>
    <row r="137" ht="17.65" spans="1:11">
      <c r="A137" s="8">
        <v>136</v>
      </c>
      <c r="B137" s="62" t="s">
        <v>1068</v>
      </c>
      <c r="C137" s="9">
        <v>0</v>
      </c>
      <c r="D137" s="11" t="s">
        <v>1069</v>
      </c>
      <c r="E137" s="9">
        <v>72</v>
      </c>
      <c r="F137" s="9" t="s">
        <v>1070</v>
      </c>
      <c r="G137" s="9">
        <f>7*5.4*8.9</f>
        <v>336.42</v>
      </c>
      <c r="H137" s="9">
        <f t="shared" si="2"/>
        <v>174.9384</v>
      </c>
      <c r="I137" s="9"/>
      <c r="J137" s="9"/>
      <c r="K137" s="9"/>
    </row>
    <row r="138" ht="17.65" spans="1:11">
      <c r="A138" s="8">
        <v>137</v>
      </c>
      <c r="B138" s="62" t="s">
        <v>1071</v>
      </c>
      <c r="C138" s="9">
        <v>0</v>
      </c>
      <c r="D138" s="11" t="s">
        <v>1072</v>
      </c>
      <c r="E138" s="9">
        <v>85</v>
      </c>
      <c r="F138" s="9" t="s">
        <v>1073</v>
      </c>
      <c r="G138" s="9">
        <f>6.7*5.5*7.1</f>
        <v>261.635</v>
      </c>
      <c r="H138" s="9">
        <f t="shared" si="2"/>
        <v>136.0502</v>
      </c>
      <c r="I138" s="9"/>
      <c r="J138" s="9"/>
      <c r="K138" s="9"/>
    </row>
    <row r="139" ht="17.65" spans="1:11">
      <c r="A139" s="8">
        <v>138</v>
      </c>
      <c r="B139" s="56" t="s">
        <v>1074</v>
      </c>
      <c r="C139" s="9">
        <v>0</v>
      </c>
      <c r="D139" s="10" t="s">
        <v>1075</v>
      </c>
      <c r="E139" s="9">
        <v>53</v>
      </c>
      <c r="F139" s="9" t="s">
        <v>1076</v>
      </c>
      <c r="G139" s="9">
        <f>7*6.8*6.2</f>
        <v>295.12</v>
      </c>
      <c r="H139" s="9">
        <f t="shared" si="2"/>
        <v>153.4624</v>
      </c>
      <c r="I139" s="9">
        <v>2</v>
      </c>
      <c r="J139" s="9" t="s">
        <v>21</v>
      </c>
      <c r="K139" s="9" t="s">
        <v>21</v>
      </c>
    </row>
    <row r="140" ht="17.65" spans="1:11">
      <c r="A140" s="8">
        <v>139</v>
      </c>
      <c r="B140" s="56" t="s">
        <v>1077</v>
      </c>
      <c r="C140" s="9">
        <v>0</v>
      </c>
      <c r="D140" s="9" t="s">
        <v>1078</v>
      </c>
      <c r="E140" s="9">
        <v>66</v>
      </c>
      <c r="F140" s="9" t="s">
        <v>1079</v>
      </c>
      <c r="G140" s="9">
        <f>5.2*6.9*4</f>
        <v>143.52</v>
      </c>
      <c r="H140" s="9">
        <f t="shared" si="2"/>
        <v>74.6304</v>
      </c>
      <c r="I140" s="9"/>
      <c r="J140" s="9"/>
      <c r="K140" s="9"/>
    </row>
    <row r="141" ht="17.65" spans="1:11">
      <c r="A141" s="8">
        <v>140</v>
      </c>
      <c r="B141" s="62" t="s">
        <v>1080</v>
      </c>
      <c r="C141" s="9">
        <v>0</v>
      </c>
      <c r="D141" s="11" t="s">
        <v>1081</v>
      </c>
      <c r="E141" s="9">
        <v>63</v>
      </c>
      <c r="F141" s="9" t="s">
        <v>1082</v>
      </c>
      <c r="G141" s="9">
        <f>5.7*6.4*4.1</f>
        <v>149.568</v>
      </c>
      <c r="H141" s="9">
        <f t="shared" si="2"/>
        <v>77.77536</v>
      </c>
      <c r="I141" s="9">
        <v>10</v>
      </c>
      <c r="J141" s="9" t="s">
        <v>21</v>
      </c>
      <c r="K141" s="9" t="s">
        <v>21</v>
      </c>
    </row>
    <row r="142" ht="17.65" spans="1:11">
      <c r="A142" s="8">
        <v>141</v>
      </c>
      <c r="B142" s="62" t="s">
        <v>1083</v>
      </c>
      <c r="C142" s="9">
        <v>0</v>
      </c>
      <c r="D142" s="11" t="s">
        <v>1084</v>
      </c>
      <c r="E142" s="9">
        <v>59</v>
      </c>
      <c r="F142" s="9" t="s">
        <v>997</v>
      </c>
      <c r="G142" s="9">
        <f>5.1*4.1*5.3</f>
        <v>110.823</v>
      </c>
      <c r="H142" s="9">
        <f t="shared" si="2"/>
        <v>57.62796</v>
      </c>
      <c r="I142" s="9"/>
      <c r="J142" s="9"/>
      <c r="K142" s="9"/>
    </row>
    <row r="143" ht="17.65" spans="1:11">
      <c r="A143" s="8">
        <v>142</v>
      </c>
      <c r="B143" s="62" t="s">
        <v>1085</v>
      </c>
      <c r="C143" s="9">
        <v>0</v>
      </c>
      <c r="D143" s="11" t="s">
        <v>1086</v>
      </c>
      <c r="E143" s="9">
        <v>69</v>
      </c>
      <c r="F143" s="9" t="s">
        <v>1087</v>
      </c>
      <c r="G143" s="9">
        <f>6.9*6.7*5.2</f>
        <v>240.396</v>
      </c>
      <c r="H143" s="9">
        <f t="shared" si="2"/>
        <v>125.00592</v>
      </c>
      <c r="I143" s="9">
        <v>2</v>
      </c>
      <c r="J143" s="9" t="s">
        <v>21</v>
      </c>
      <c r="K143" s="9" t="s">
        <v>21</v>
      </c>
    </row>
    <row r="144" ht="17.65" spans="1:11">
      <c r="A144" s="8">
        <v>143</v>
      </c>
      <c r="B144" s="62" t="s">
        <v>1088</v>
      </c>
      <c r="C144" s="9">
        <v>0</v>
      </c>
      <c r="D144" s="11" t="s">
        <v>1089</v>
      </c>
      <c r="E144" s="9">
        <v>68</v>
      </c>
      <c r="F144" s="9" t="s">
        <v>1090</v>
      </c>
      <c r="G144" s="9">
        <f>4.9*3.5*3.4</f>
        <v>58.31</v>
      </c>
      <c r="H144" s="9">
        <f t="shared" si="2"/>
        <v>30.3212</v>
      </c>
      <c r="I144" s="9">
        <v>1</v>
      </c>
      <c r="J144" s="9"/>
      <c r="K144" s="9" t="s">
        <v>21</v>
      </c>
    </row>
    <row r="145" ht="17.65" spans="1:11">
      <c r="A145" s="8">
        <v>144</v>
      </c>
      <c r="B145" s="62" t="s">
        <v>1091</v>
      </c>
      <c r="C145" s="9">
        <v>0</v>
      </c>
      <c r="D145" s="11" t="s">
        <v>1092</v>
      </c>
      <c r="E145" s="9">
        <v>65</v>
      </c>
      <c r="F145" s="9" t="s">
        <v>1093</v>
      </c>
      <c r="G145" s="9">
        <f>5.5*4.6*6.6</f>
        <v>166.98</v>
      </c>
      <c r="H145" s="9">
        <f t="shared" si="2"/>
        <v>86.8296</v>
      </c>
      <c r="I145" s="9"/>
      <c r="J145" s="9"/>
      <c r="K145" s="9"/>
    </row>
    <row r="146" ht="17.65" spans="1:11">
      <c r="A146" s="8">
        <v>145</v>
      </c>
      <c r="B146" s="61" t="s">
        <v>1094</v>
      </c>
      <c r="C146" s="9">
        <v>0</v>
      </c>
      <c r="D146" s="10" t="s">
        <v>1095</v>
      </c>
      <c r="E146" s="9">
        <v>69</v>
      </c>
      <c r="F146" s="9" t="s">
        <v>1096</v>
      </c>
      <c r="G146" s="9">
        <f>6.8*7.9*6.3</f>
        <v>338.436</v>
      </c>
      <c r="H146" s="9">
        <f t="shared" si="2"/>
        <v>175.98672</v>
      </c>
      <c r="I146" s="9"/>
      <c r="J146" s="9"/>
      <c r="K146" s="9"/>
    </row>
    <row r="147" ht="17.65" spans="1:11">
      <c r="A147" s="8">
        <v>146</v>
      </c>
      <c r="B147" s="61" t="s">
        <v>1097</v>
      </c>
      <c r="C147" s="9">
        <v>0</v>
      </c>
      <c r="D147" s="10" t="s">
        <v>1098</v>
      </c>
      <c r="E147" s="9">
        <v>68</v>
      </c>
      <c r="F147" s="9" t="s">
        <v>1099</v>
      </c>
      <c r="G147" s="9">
        <f>6.4*5.6*6</f>
        <v>215.04</v>
      </c>
      <c r="H147" s="9">
        <f t="shared" si="2"/>
        <v>111.8208</v>
      </c>
      <c r="I147" s="9"/>
      <c r="J147" s="9"/>
      <c r="K147" s="9"/>
    </row>
    <row r="148" ht="17.65" spans="1:11">
      <c r="A148" s="8">
        <v>147</v>
      </c>
      <c r="B148" s="61" t="s">
        <v>1100</v>
      </c>
      <c r="C148" s="9">
        <v>0</v>
      </c>
      <c r="D148" s="10" t="s">
        <v>1101</v>
      </c>
      <c r="E148" s="9">
        <v>71</v>
      </c>
      <c r="F148" s="9" t="s">
        <v>1102</v>
      </c>
      <c r="G148" s="9">
        <f>5.6*5.3*3.8</f>
        <v>112.784</v>
      </c>
      <c r="H148" s="9">
        <f t="shared" si="2"/>
        <v>58.64768</v>
      </c>
      <c r="I148" s="9"/>
      <c r="J148" s="9"/>
      <c r="K148" s="9"/>
    </row>
    <row r="149" ht="17.65" spans="1:11">
      <c r="A149" s="8">
        <v>148</v>
      </c>
      <c r="B149" s="56" t="s">
        <v>1103</v>
      </c>
      <c r="C149" s="9">
        <v>0</v>
      </c>
      <c r="D149" s="10" t="s">
        <v>1104</v>
      </c>
      <c r="E149" s="9">
        <v>68</v>
      </c>
      <c r="F149" s="9" t="s">
        <v>1105</v>
      </c>
      <c r="G149" s="9">
        <f>5.6*5.6*5</f>
        <v>156.8</v>
      </c>
      <c r="H149" s="9">
        <f t="shared" si="2"/>
        <v>81.536</v>
      </c>
      <c r="I149" s="9"/>
      <c r="J149" s="9"/>
      <c r="K149" s="9"/>
    </row>
    <row r="150" ht="17.65" spans="1:11">
      <c r="A150" s="8">
        <v>149</v>
      </c>
      <c r="B150" s="56" t="s">
        <v>1106</v>
      </c>
      <c r="C150" s="9">
        <v>0</v>
      </c>
      <c r="D150" s="10" t="s">
        <v>1107</v>
      </c>
      <c r="E150" s="9">
        <v>74</v>
      </c>
      <c r="F150" s="9" t="s">
        <v>1108</v>
      </c>
      <c r="G150" s="9">
        <f>5.5*5.1*4.3</f>
        <v>120.615</v>
      </c>
      <c r="H150" s="9">
        <f t="shared" si="2"/>
        <v>62.7198</v>
      </c>
      <c r="I150" s="9">
        <v>1</v>
      </c>
      <c r="J150" s="9" t="s">
        <v>21</v>
      </c>
      <c r="K150" s="9" t="s">
        <v>21</v>
      </c>
    </row>
    <row r="151" ht="17.65" spans="1:11">
      <c r="A151" s="8">
        <v>150</v>
      </c>
      <c r="B151" s="56" t="s">
        <v>1109</v>
      </c>
      <c r="C151" s="9">
        <v>0</v>
      </c>
      <c r="D151" s="10" t="s">
        <v>1110</v>
      </c>
      <c r="E151" s="9">
        <v>59</v>
      </c>
      <c r="F151" s="9" t="s">
        <v>1111</v>
      </c>
      <c r="G151" s="9">
        <f>5.6*4.1*5.3</f>
        <v>121.688</v>
      </c>
      <c r="H151" s="9">
        <f t="shared" si="2"/>
        <v>63.27776</v>
      </c>
      <c r="I151" s="9"/>
      <c r="J151" s="9"/>
      <c r="K151" s="9"/>
    </row>
    <row r="152" ht="17.65" spans="1:11">
      <c r="A152" s="8">
        <v>151</v>
      </c>
      <c r="B152" s="61" t="s">
        <v>1112</v>
      </c>
      <c r="C152" s="9">
        <v>0</v>
      </c>
      <c r="D152" s="10" t="s">
        <v>1113</v>
      </c>
      <c r="E152" s="9">
        <v>71</v>
      </c>
      <c r="F152" s="9" t="s">
        <v>1114</v>
      </c>
      <c r="G152" s="9">
        <f>5.3*3.8*3.4</f>
        <v>68.476</v>
      </c>
      <c r="H152" s="9">
        <f t="shared" si="2"/>
        <v>35.60752</v>
      </c>
      <c r="I152" s="9"/>
      <c r="J152" s="9"/>
      <c r="K152" s="9"/>
    </row>
    <row r="153" ht="17.65" spans="1:11">
      <c r="A153" s="8">
        <v>152</v>
      </c>
      <c r="B153" s="61" t="s">
        <v>1115</v>
      </c>
      <c r="C153" s="9">
        <v>0</v>
      </c>
      <c r="D153" s="10" t="s">
        <v>1116</v>
      </c>
      <c r="E153" s="10">
        <v>63</v>
      </c>
      <c r="F153" s="9" t="s">
        <v>1117</v>
      </c>
      <c r="G153" s="9">
        <f>6.6*6.2*4.8</f>
        <v>196.416</v>
      </c>
      <c r="H153" s="9">
        <f t="shared" si="2"/>
        <v>102.13632</v>
      </c>
      <c r="I153" s="9"/>
      <c r="J153" s="9"/>
      <c r="K153" s="9"/>
    </row>
    <row r="154" ht="17.65" spans="1:11">
      <c r="A154" s="8">
        <v>153</v>
      </c>
      <c r="B154" s="56" t="s">
        <v>1118</v>
      </c>
      <c r="C154" s="9">
        <v>0</v>
      </c>
      <c r="D154" s="10" t="s">
        <v>1119</v>
      </c>
      <c r="E154" s="9">
        <v>64</v>
      </c>
      <c r="F154" s="9" t="s">
        <v>485</v>
      </c>
      <c r="G154" s="9">
        <f>5.8*5.3*4.7</f>
        <v>144.478</v>
      </c>
      <c r="H154" s="9">
        <f t="shared" si="2"/>
        <v>75.12856</v>
      </c>
      <c r="I154" s="9">
        <v>1</v>
      </c>
      <c r="J154" s="9" t="s">
        <v>21</v>
      </c>
      <c r="K154" s="9" t="s">
        <v>21</v>
      </c>
    </row>
    <row r="155" ht="17.65" spans="1:11">
      <c r="A155" s="8">
        <v>154</v>
      </c>
      <c r="B155" s="56" t="s">
        <v>1120</v>
      </c>
      <c r="C155" s="9">
        <v>0</v>
      </c>
      <c r="D155" s="10" t="s">
        <v>1121</v>
      </c>
      <c r="E155" s="9">
        <v>84</v>
      </c>
      <c r="F155" s="9" t="s">
        <v>1122</v>
      </c>
      <c r="G155" s="9">
        <f>4.4*4.1*3.1</f>
        <v>55.924</v>
      </c>
      <c r="H155" s="9">
        <f t="shared" si="2"/>
        <v>29.08048</v>
      </c>
      <c r="I155" s="9"/>
      <c r="J155" s="9"/>
      <c r="K155" s="9"/>
    </row>
    <row r="156" ht="17.65" spans="1:11">
      <c r="A156" s="8">
        <v>155</v>
      </c>
      <c r="B156" s="56" t="s">
        <v>1123</v>
      </c>
      <c r="C156" s="9">
        <v>0</v>
      </c>
      <c r="D156" s="10" t="s">
        <v>1124</v>
      </c>
      <c r="E156" s="9">
        <v>69</v>
      </c>
      <c r="F156" s="9" t="s">
        <v>1125</v>
      </c>
      <c r="G156" s="9">
        <f>6.2*5.1*6.5</f>
        <v>205.53</v>
      </c>
      <c r="H156" s="9">
        <f t="shared" si="2"/>
        <v>106.8756</v>
      </c>
      <c r="I156" s="9"/>
      <c r="J156" s="9"/>
      <c r="K156" s="9"/>
    </row>
    <row r="157" s="2" customFormat="1" ht="17.65" spans="1:11">
      <c r="A157" s="16">
        <v>156</v>
      </c>
      <c r="B157" s="65" t="s">
        <v>1126</v>
      </c>
      <c r="C157" s="17">
        <v>0</v>
      </c>
      <c r="D157" s="17" t="s">
        <v>1127</v>
      </c>
      <c r="E157" s="17">
        <v>65</v>
      </c>
      <c r="F157" s="17" t="s">
        <v>1128</v>
      </c>
      <c r="G157" s="17" t="s">
        <v>1128</v>
      </c>
      <c r="H157" s="17" t="e">
        <f t="shared" si="2"/>
        <v>#VALUE!</v>
      </c>
      <c r="I157" s="17"/>
      <c r="J157" s="17"/>
      <c r="K157" s="17"/>
    </row>
    <row r="158" ht="17.65" spans="1:11">
      <c r="A158" s="8">
        <v>157</v>
      </c>
      <c r="B158" s="56" t="s">
        <v>1129</v>
      </c>
      <c r="C158" s="9">
        <v>0</v>
      </c>
      <c r="D158" s="10" t="s">
        <v>1130</v>
      </c>
      <c r="E158" s="9">
        <v>78</v>
      </c>
      <c r="F158" s="9" t="s">
        <v>1131</v>
      </c>
      <c r="G158" s="9">
        <f>6.4*5.7*6.9</f>
        <v>251.712</v>
      </c>
      <c r="H158" s="9">
        <f t="shared" si="2"/>
        <v>130.89024</v>
      </c>
      <c r="I158" s="9">
        <v>1</v>
      </c>
      <c r="J158" s="9"/>
      <c r="K158" s="9" t="s">
        <v>21</v>
      </c>
    </row>
    <row r="159" ht="17.65" spans="1:11">
      <c r="A159" s="8">
        <v>158</v>
      </c>
      <c r="B159" s="56" t="s">
        <v>1132</v>
      </c>
      <c r="C159" s="9">
        <v>0</v>
      </c>
      <c r="D159" s="10" t="s">
        <v>1133</v>
      </c>
      <c r="E159" s="9">
        <v>57</v>
      </c>
      <c r="F159" s="9" t="s">
        <v>1134</v>
      </c>
      <c r="G159" s="9">
        <f>5.5*4*4.7</f>
        <v>103.4</v>
      </c>
      <c r="H159" s="9">
        <f t="shared" si="2"/>
        <v>53.768</v>
      </c>
      <c r="I159" s="9"/>
      <c r="J159" s="9"/>
      <c r="K159" s="9"/>
    </row>
    <row r="160" ht="17.65" spans="1:11">
      <c r="A160" s="8">
        <v>159</v>
      </c>
      <c r="B160" s="56" t="s">
        <v>1135</v>
      </c>
      <c r="C160" s="9">
        <v>0</v>
      </c>
      <c r="D160" s="10" t="s">
        <v>1136</v>
      </c>
      <c r="E160" s="9">
        <v>76</v>
      </c>
      <c r="F160" s="9" t="s">
        <v>1137</v>
      </c>
      <c r="G160" s="9">
        <f>6.1*5.3*4.7</f>
        <v>151.951</v>
      </c>
      <c r="H160" s="9">
        <f t="shared" si="2"/>
        <v>79.01452</v>
      </c>
      <c r="I160" s="9"/>
      <c r="J160" s="9"/>
      <c r="K160" s="9"/>
    </row>
    <row r="161" ht="17.65" spans="1:11">
      <c r="A161" s="8">
        <v>160</v>
      </c>
      <c r="B161" s="56" t="s">
        <v>1138</v>
      </c>
      <c r="C161" s="9">
        <v>0</v>
      </c>
      <c r="D161" s="10" t="s">
        <v>1139</v>
      </c>
      <c r="E161" s="9">
        <v>67</v>
      </c>
      <c r="F161" s="9" t="s">
        <v>1140</v>
      </c>
      <c r="G161" s="9">
        <f>5.7*5.6*5.6</f>
        <v>178.752</v>
      </c>
      <c r="H161" s="9">
        <f t="shared" si="2"/>
        <v>92.95104</v>
      </c>
      <c r="I161" s="9"/>
      <c r="J161" s="9"/>
      <c r="K161" s="9"/>
    </row>
    <row r="162" ht="17.65" spans="1:11">
      <c r="A162" s="8">
        <v>161</v>
      </c>
      <c r="B162" s="56" t="s">
        <v>1141</v>
      </c>
      <c r="C162" s="9">
        <v>0</v>
      </c>
      <c r="D162" s="10" t="s">
        <v>1142</v>
      </c>
      <c r="E162" s="9">
        <v>73</v>
      </c>
      <c r="F162" s="9" t="s">
        <v>1143</v>
      </c>
      <c r="G162" s="9">
        <f>5.8*4.2*5.9</f>
        <v>143.724</v>
      </c>
      <c r="H162" s="9">
        <f t="shared" si="2"/>
        <v>74.73648</v>
      </c>
      <c r="I162" s="9"/>
      <c r="J162" s="9"/>
      <c r="K162" s="9"/>
    </row>
    <row r="163" ht="17.65" spans="1:11">
      <c r="A163" s="8">
        <v>162</v>
      </c>
      <c r="B163" s="56" t="s">
        <v>1144</v>
      </c>
      <c r="C163" s="9">
        <v>0</v>
      </c>
      <c r="D163" s="10" t="s">
        <v>1145</v>
      </c>
      <c r="E163" s="9">
        <v>62</v>
      </c>
      <c r="F163" s="9" t="s">
        <v>1146</v>
      </c>
      <c r="G163" s="9">
        <f>5.7*6.8*6</f>
        <v>232.56</v>
      </c>
      <c r="H163" s="9">
        <f t="shared" si="2"/>
        <v>120.9312</v>
      </c>
      <c r="I163" s="9"/>
      <c r="J163" s="9"/>
      <c r="K163" s="9"/>
    </row>
    <row r="164" ht="17.65" spans="1:11">
      <c r="A164" s="8">
        <v>163</v>
      </c>
      <c r="B164" s="56" t="s">
        <v>1147</v>
      </c>
      <c r="C164" s="9">
        <v>0</v>
      </c>
      <c r="D164" s="10" t="s">
        <v>1148</v>
      </c>
      <c r="E164" s="9">
        <v>78</v>
      </c>
      <c r="F164" s="9" t="s">
        <v>1149</v>
      </c>
      <c r="G164" s="9">
        <f>5*4.4*5.5</f>
        <v>121</v>
      </c>
      <c r="H164" s="9">
        <f t="shared" si="2"/>
        <v>62.92</v>
      </c>
      <c r="I164" s="9">
        <v>1</v>
      </c>
      <c r="J164" s="9" t="s">
        <v>21</v>
      </c>
      <c r="K164" s="9" t="s">
        <v>21</v>
      </c>
    </row>
    <row r="165" ht="17.65" spans="1:11">
      <c r="A165" s="8">
        <v>164</v>
      </c>
      <c r="B165" s="56" t="s">
        <v>1150</v>
      </c>
      <c r="C165" s="9">
        <v>0</v>
      </c>
      <c r="D165" s="10" t="s">
        <v>1151</v>
      </c>
      <c r="E165" s="9">
        <v>76</v>
      </c>
      <c r="F165" s="9" t="s">
        <v>810</v>
      </c>
      <c r="G165" s="9">
        <f>5.6*4.5*5.5</f>
        <v>138.6</v>
      </c>
      <c r="H165" s="9">
        <f t="shared" si="2"/>
        <v>72.072</v>
      </c>
      <c r="I165" s="9"/>
      <c r="J165" s="9"/>
      <c r="K165" s="9"/>
    </row>
    <row r="166" ht="17.65" spans="1:11">
      <c r="A166" s="8">
        <v>165</v>
      </c>
      <c r="B166" s="56" t="s">
        <v>1152</v>
      </c>
      <c r="C166" s="9">
        <v>0</v>
      </c>
      <c r="D166" s="10" t="s">
        <v>1153</v>
      </c>
      <c r="E166" s="9">
        <v>76</v>
      </c>
      <c r="F166" s="9" t="s">
        <v>1154</v>
      </c>
      <c r="G166" s="9">
        <f>5.3*4.6*4.8</f>
        <v>117.024</v>
      </c>
      <c r="H166" s="9">
        <f t="shared" si="2"/>
        <v>60.85248</v>
      </c>
      <c r="I166" s="9">
        <v>2</v>
      </c>
      <c r="J166" s="9"/>
      <c r="K166" s="9" t="s">
        <v>21</v>
      </c>
    </row>
    <row r="167" ht="17.65" spans="1:11">
      <c r="A167" s="8">
        <v>166</v>
      </c>
      <c r="B167" s="61" t="s">
        <v>1155</v>
      </c>
      <c r="C167" s="9">
        <v>0</v>
      </c>
      <c r="D167" s="10" t="s">
        <v>1156</v>
      </c>
      <c r="E167" s="9">
        <v>78</v>
      </c>
      <c r="F167" s="9" t="s">
        <v>1157</v>
      </c>
      <c r="G167" s="9">
        <f>6.9*6*6.4</f>
        <v>264.96</v>
      </c>
      <c r="H167" s="9">
        <f t="shared" si="2"/>
        <v>137.7792</v>
      </c>
      <c r="I167" s="9">
        <v>2</v>
      </c>
      <c r="J167" s="9"/>
      <c r="K167" s="9" t="s">
        <v>21</v>
      </c>
    </row>
    <row r="168" ht="17.65" spans="1:11">
      <c r="A168" s="8">
        <v>167</v>
      </c>
      <c r="B168" s="56" t="s">
        <v>1158</v>
      </c>
      <c r="C168" s="9">
        <v>0</v>
      </c>
      <c r="D168" s="10" t="s">
        <v>1159</v>
      </c>
      <c r="E168" s="9">
        <v>82</v>
      </c>
      <c r="F168" s="9" t="s">
        <v>1160</v>
      </c>
      <c r="G168" s="9">
        <f>6.5*7.8*6.3</f>
        <v>319.41</v>
      </c>
      <c r="H168" s="9">
        <f t="shared" si="2"/>
        <v>166.0932</v>
      </c>
      <c r="I168" s="9"/>
      <c r="J168" s="9"/>
      <c r="K168" s="9"/>
    </row>
    <row r="169" ht="17.65" spans="1:11">
      <c r="A169" s="8">
        <v>168</v>
      </c>
      <c r="B169" s="56" t="s">
        <v>1161</v>
      </c>
      <c r="C169" s="9">
        <v>0</v>
      </c>
      <c r="D169" s="10" t="s">
        <v>1162</v>
      </c>
      <c r="E169" s="9">
        <v>64</v>
      </c>
      <c r="F169" s="9" t="s">
        <v>1163</v>
      </c>
      <c r="G169" s="9">
        <f>5.4*4*3.9</f>
        <v>84.24</v>
      </c>
      <c r="H169" s="9">
        <f t="shared" si="2"/>
        <v>43.8048</v>
      </c>
      <c r="I169" s="9"/>
      <c r="J169" s="9"/>
      <c r="K169" s="9"/>
    </row>
    <row r="170" ht="17.65" spans="1:11">
      <c r="A170" s="8">
        <v>169</v>
      </c>
      <c r="B170" s="56" t="s">
        <v>1164</v>
      </c>
      <c r="C170" s="9">
        <v>0</v>
      </c>
      <c r="D170" s="10" t="s">
        <v>1165</v>
      </c>
      <c r="E170" s="9">
        <v>77</v>
      </c>
      <c r="F170" s="9" t="s">
        <v>1166</v>
      </c>
      <c r="G170" s="9">
        <f>6*6*5.4</f>
        <v>194.4</v>
      </c>
      <c r="H170" s="9">
        <f t="shared" si="2"/>
        <v>101.088</v>
      </c>
      <c r="I170" s="9"/>
      <c r="J170" s="9"/>
      <c r="K170" s="9"/>
    </row>
    <row r="171" ht="17.65" spans="1:11">
      <c r="A171" s="8">
        <v>170</v>
      </c>
      <c r="B171" s="56" t="s">
        <v>1167</v>
      </c>
      <c r="C171" s="9">
        <v>0</v>
      </c>
      <c r="D171" s="10" t="s">
        <v>1168</v>
      </c>
      <c r="E171" s="9">
        <v>78</v>
      </c>
      <c r="F171" s="9" t="s">
        <v>1169</v>
      </c>
      <c r="G171" s="9">
        <f>6.5*5.6*5.8</f>
        <v>211.12</v>
      </c>
      <c r="H171" s="9">
        <f t="shared" si="2"/>
        <v>109.7824</v>
      </c>
      <c r="I171" s="9"/>
      <c r="J171" s="9"/>
      <c r="K171" s="9"/>
    </row>
    <row r="172" ht="17.65" spans="1:11">
      <c r="A172" s="8">
        <v>171</v>
      </c>
      <c r="B172" s="56" t="s">
        <v>1170</v>
      </c>
      <c r="C172" s="9">
        <v>0</v>
      </c>
      <c r="D172" s="10" t="s">
        <v>1171</v>
      </c>
      <c r="E172" s="9">
        <v>64</v>
      </c>
      <c r="F172" s="9" t="s">
        <v>1172</v>
      </c>
      <c r="G172" s="9">
        <f>5.6*4.7*3.4</f>
        <v>89.488</v>
      </c>
      <c r="H172" s="9">
        <f t="shared" si="2"/>
        <v>46.53376</v>
      </c>
      <c r="I172" s="9"/>
      <c r="J172" s="9"/>
      <c r="K172" s="9"/>
    </row>
    <row r="173" ht="17.65" spans="1:11">
      <c r="A173" s="8">
        <v>172</v>
      </c>
      <c r="B173" s="56" t="s">
        <v>1173</v>
      </c>
      <c r="C173" s="9">
        <v>0</v>
      </c>
      <c r="D173" s="10" t="s">
        <v>1174</v>
      </c>
      <c r="E173" s="10">
        <v>87</v>
      </c>
      <c r="F173" s="9" t="s">
        <v>1175</v>
      </c>
      <c r="G173" s="9">
        <f>4.9*4.1*5.2</f>
        <v>104.468</v>
      </c>
      <c r="H173" s="9">
        <f t="shared" si="2"/>
        <v>54.32336</v>
      </c>
      <c r="I173" s="9"/>
      <c r="J173" s="9"/>
      <c r="K173" s="9"/>
    </row>
    <row r="174" ht="17.65" spans="1:11">
      <c r="A174" s="8">
        <v>173</v>
      </c>
      <c r="B174" s="61" t="s">
        <v>1176</v>
      </c>
      <c r="C174" s="9">
        <v>0</v>
      </c>
      <c r="D174" s="10" t="s">
        <v>1177</v>
      </c>
      <c r="E174" s="9">
        <v>68</v>
      </c>
      <c r="F174" s="9" t="s">
        <v>1178</v>
      </c>
      <c r="G174" s="9">
        <f>5.7*4.3*5.8</f>
        <v>142.158</v>
      </c>
      <c r="H174" s="9">
        <f t="shared" si="2"/>
        <v>73.92216</v>
      </c>
      <c r="I174" s="9"/>
      <c r="J174" s="9"/>
      <c r="K174" s="9"/>
    </row>
    <row r="175" ht="17.65" spans="1:11">
      <c r="A175" s="8">
        <v>174</v>
      </c>
      <c r="B175" s="61" t="s">
        <v>1179</v>
      </c>
      <c r="C175" s="9">
        <v>0</v>
      </c>
      <c r="D175" s="10" t="s">
        <v>1180</v>
      </c>
      <c r="E175" s="10">
        <v>81</v>
      </c>
      <c r="F175" s="9" t="s">
        <v>1181</v>
      </c>
      <c r="G175" s="9">
        <f>5.5*4.6*5.2</f>
        <v>131.56</v>
      </c>
      <c r="H175" s="9">
        <f t="shared" si="2"/>
        <v>68.4112</v>
      </c>
      <c r="I175" s="9">
        <v>2</v>
      </c>
      <c r="J175" s="9" t="s">
        <v>21</v>
      </c>
      <c r="K175" s="9" t="s">
        <v>21</v>
      </c>
    </row>
    <row r="176" ht="17.65" spans="1:11">
      <c r="A176" s="8">
        <v>175</v>
      </c>
      <c r="B176" s="61" t="s">
        <v>1182</v>
      </c>
      <c r="C176" s="9">
        <v>0</v>
      </c>
      <c r="D176" s="10" t="s">
        <v>1183</v>
      </c>
      <c r="E176" s="10">
        <v>68</v>
      </c>
      <c r="F176" s="9" t="s">
        <v>1184</v>
      </c>
      <c r="G176" s="9">
        <f>4.9*4.9*4</f>
        <v>96.04</v>
      </c>
      <c r="H176" s="9">
        <f t="shared" si="2"/>
        <v>49.9408</v>
      </c>
      <c r="I176" s="9">
        <v>1</v>
      </c>
      <c r="J176" s="9"/>
      <c r="K176" s="9" t="s">
        <v>21</v>
      </c>
    </row>
    <row r="177" ht="17.65" spans="1:11">
      <c r="A177" s="8">
        <v>176</v>
      </c>
      <c r="B177" s="61" t="s">
        <v>1185</v>
      </c>
      <c r="C177" s="9">
        <v>0</v>
      </c>
      <c r="D177" s="10" t="s">
        <v>1186</v>
      </c>
      <c r="E177" s="10">
        <v>78</v>
      </c>
      <c r="F177" s="9" t="s">
        <v>1187</v>
      </c>
      <c r="G177" s="9">
        <f>5.4*4.5*5.1</f>
        <v>123.93</v>
      </c>
      <c r="H177" s="9">
        <f t="shared" si="2"/>
        <v>64.4436</v>
      </c>
      <c r="I177" s="9"/>
      <c r="J177" s="9"/>
      <c r="K177" s="9"/>
    </row>
    <row r="178" ht="17.65" spans="1:11">
      <c r="A178" s="8">
        <v>177</v>
      </c>
      <c r="B178" s="61" t="s">
        <v>1188</v>
      </c>
      <c r="C178" s="9">
        <v>0</v>
      </c>
      <c r="D178" s="10" t="s">
        <v>1189</v>
      </c>
      <c r="E178" s="10">
        <v>67</v>
      </c>
      <c r="F178" s="9" t="s">
        <v>1190</v>
      </c>
      <c r="G178" s="9">
        <f>5.9*4.3*6.7</f>
        <v>169.979</v>
      </c>
      <c r="H178" s="9">
        <f t="shared" si="2"/>
        <v>88.38908</v>
      </c>
      <c r="I178" s="9">
        <v>1</v>
      </c>
      <c r="J178" s="9" t="s">
        <v>21</v>
      </c>
      <c r="K178" s="9" t="s">
        <v>21</v>
      </c>
    </row>
    <row r="179" ht="17.65" spans="1:11">
      <c r="A179" s="8">
        <v>178</v>
      </c>
      <c r="B179" s="61" t="s">
        <v>1191</v>
      </c>
      <c r="C179" s="9">
        <v>0</v>
      </c>
      <c r="D179" s="10" t="s">
        <v>1192</v>
      </c>
      <c r="E179" s="10">
        <v>66</v>
      </c>
      <c r="F179" s="9" t="s">
        <v>1193</v>
      </c>
      <c r="G179" s="9">
        <f>5.8*5.2*6</f>
        <v>180.96</v>
      </c>
      <c r="H179" s="9">
        <f t="shared" si="2"/>
        <v>94.0992</v>
      </c>
      <c r="I179" s="9"/>
      <c r="J179" s="9"/>
      <c r="K179" s="9"/>
    </row>
    <row r="180" ht="17.65" spans="1:11">
      <c r="A180" s="8">
        <v>179</v>
      </c>
      <c r="B180" s="61" t="s">
        <v>1194</v>
      </c>
      <c r="C180" s="9">
        <v>0</v>
      </c>
      <c r="D180" s="10" t="s">
        <v>1195</v>
      </c>
      <c r="E180" s="10">
        <v>74</v>
      </c>
      <c r="F180" s="9" t="s">
        <v>1196</v>
      </c>
      <c r="G180" s="9">
        <f>5.6*6.1*5.5</f>
        <v>187.88</v>
      </c>
      <c r="H180" s="9">
        <f t="shared" si="2"/>
        <v>97.6976</v>
      </c>
      <c r="I180" s="9"/>
      <c r="J180" s="9"/>
      <c r="K180" s="9"/>
    </row>
    <row r="181" ht="17.65" spans="1:11">
      <c r="A181" s="8">
        <v>180</v>
      </c>
      <c r="B181" s="61" t="s">
        <v>1197</v>
      </c>
      <c r="C181" s="9">
        <v>0</v>
      </c>
      <c r="D181" s="10" t="s">
        <v>1198</v>
      </c>
      <c r="E181" s="9">
        <v>73</v>
      </c>
      <c r="F181" s="9" t="s">
        <v>1199</v>
      </c>
      <c r="G181" s="9">
        <f>5.8*4.6*4.4</f>
        <v>117.392</v>
      </c>
      <c r="H181" s="9">
        <f t="shared" si="2"/>
        <v>61.04384</v>
      </c>
      <c r="I181" s="9"/>
      <c r="J181" s="9"/>
      <c r="K181" s="9"/>
    </row>
    <row r="182" ht="17.65" spans="1:11">
      <c r="A182" s="8">
        <v>181</v>
      </c>
      <c r="B182" s="61" t="s">
        <v>1200</v>
      </c>
      <c r="C182" s="9">
        <v>0</v>
      </c>
      <c r="D182" s="10" t="s">
        <v>1201</v>
      </c>
      <c r="E182" s="10">
        <v>80</v>
      </c>
      <c r="F182" s="9" t="s">
        <v>1202</v>
      </c>
      <c r="G182" s="9">
        <f>6.2*5.3*7.1</f>
        <v>233.306</v>
      </c>
      <c r="H182" s="9">
        <f t="shared" si="2"/>
        <v>121.31912</v>
      </c>
      <c r="I182" s="9">
        <v>2</v>
      </c>
      <c r="J182" s="9"/>
      <c r="K182" s="9" t="s">
        <v>21</v>
      </c>
    </row>
    <row r="183" ht="17.65" spans="1:11">
      <c r="A183" s="8">
        <v>182</v>
      </c>
      <c r="B183" s="61" t="s">
        <v>1203</v>
      </c>
      <c r="C183" s="9">
        <v>0</v>
      </c>
      <c r="D183" s="10" t="s">
        <v>1204</v>
      </c>
      <c r="E183" s="9">
        <v>83</v>
      </c>
      <c r="F183" s="9" t="s">
        <v>1205</v>
      </c>
      <c r="G183" s="9">
        <f>4.9*4.5*4.7</f>
        <v>103.635</v>
      </c>
      <c r="H183" s="9">
        <f t="shared" si="2"/>
        <v>53.8902</v>
      </c>
      <c r="I183" s="9"/>
      <c r="J183" s="9"/>
      <c r="K183" s="9"/>
    </row>
    <row r="184" ht="17.65" spans="1:11">
      <c r="A184" s="8">
        <v>183</v>
      </c>
      <c r="B184" s="61" t="s">
        <v>1206</v>
      </c>
      <c r="C184" s="9">
        <v>0</v>
      </c>
      <c r="D184" s="10" t="s">
        <v>1207</v>
      </c>
      <c r="E184" s="9">
        <v>60</v>
      </c>
      <c r="F184" s="9" t="s">
        <v>1208</v>
      </c>
      <c r="G184" s="9">
        <f>5.5*6.1*4.6</f>
        <v>154.33</v>
      </c>
      <c r="H184" s="9">
        <f t="shared" si="2"/>
        <v>80.2516</v>
      </c>
      <c r="I184" s="9"/>
      <c r="J184" s="9"/>
      <c r="K184" s="9"/>
    </row>
    <row r="185" ht="17.65" spans="1:11">
      <c r="A185" s="8">
        <v>184</v>
      </c>
      <c r="B185" s="61" t="s">
        <v>1209</v>
      </c>
      <c r="C185" s="9">
        <v>0</v>
      </c>
      <c r="D185" s="10" t="s">
        <v>1210</v>
      </c>
      <c r="E185" s="9">
        <v>75</v>
      </c>
      <c r="F185" s="9" t="s">
        <v>1211</v>
      </c>
      <c r="G185" s="9">
        <f>5.4*4.5*3.6</f>
        <v>87.48</v>
      </c>
      <c r="H185" s="9">
        <f t="shared" si="2"/>
        <v>45.4896</v>
      </c>
      <c r="I185" s="9">
        <v>2</v>
      </c>
      <c r="J185" s="9"/>
      <c r="K185" s="9" t="s">
        <v>21</v>
      </c>
    </row>
    <row r="186" ht="17.65" spans="1:11">
      <c r="A186" s="8">
        <v>185</v>
      </c>
      <c r="B186" s="61" t="s">
        <v>1212</v>
      </c>
      <c r="C186" s="9">
        <v>0</v>
      </c>
      <c r="D186" s="10" t="s">
        <v>1213</v>
      </c>
      <c r="E186" s="9">
        <v>66</v>
      </c>
      <c r="F186" s="9" t="s">
        <v>1214</v>
      </c>
      <c r="G186" s="9">
        <f>4.9*4.7*6.5</f>
        <v>149.695</v>
      </c>
      <c r="H186" s="9">
        <f t="shared" si="2"/>
        <v>77.8414</v>
      </c>
      <c r="I186" s="9"/>
      <c r="J186" s="9"/>
      <c r="K186" s="9"/>
    </row>
    <row r="187" ht="17.65" spans="1:11">
      <c r="A187" s="8">
        <v>186</v>
      </c>
      <c r="B187" s="61" t="s">
        <v>1215</v>
      </c>
      <c r="C187" s="9">
        <v>0</v>
      </c>
      <c r="D187" s="10" t="s">
        <v>1216</v>
      </c>
      <c r="E187" s="9">
        <v>72</v>
      </c>
      <c r="F187" s="9" t="s">
        <v>1217</v>
      </c>
      <c r="G187" s="9">
        <f>5.7*7.3*4.3</f>
        <v>178.923</v>
      </c>
      <c r="H187" s="9">
        <f t="shared" si="2"/>
        <v>93.03996</v>
      </c>
      <c r="I187" s="9"/>
      <c r="J187" s="9"/>
      <c r="K187" s="9"/>
    </row>
    <row r="188" ht="17.65" spans="1:11">
      <c r="A188" s="8">
        <v>187</v>
      </c>
      <c r="B188" s="61" t="s">
        <v>1218</v>
      </c>
      <c r="C188" s="9">
        <v>0</v>
      </c>
      <c r="D188" s="10" t="s">
        <v>1219</v>
      </c>
      <c r="E188" s="9">
        <v>77</v>
      </c>
      <c r="F188" s="9" t="s">
        <v>1220</v>
      </c>
      <c r="G188" s="9">
        <f>5.6*4.6*6.2</f>
        <v>159.712</v>
      </c>
      <c r="H188" s="9">
        <f t="shared" si="2"/>
        <v>83.05024</v>
      </c>
      <c r="I188" s="9">
        <v>2</v>
      </c>
      <c r="J188" s="9" t="s">
        <v>21</v>
      </c>
      <c r="K188" s="9" t="s">
        <v>21</v>
      </c>
    </row>
    <row r="189" ht="17.65" spans="1:11">
      <c r="A189" s="8">
        <v>188</v>
      </c>
      <c r="B189" s="61" t="s">
        <v>1221</v>
      </c>
      <c r="C189" s="9">
        <v>0</v>
      </c>
      <c r="D189" s="10" t="s">
        <v>1222</v>
      </c>
      <c r="E189" s="9">
        <v>70</v>
      </c>
      <c r="F189" s="9" t="s">
        <v>1223</v>
      </c>
      <c r="G189" s="9">
        <f>6*4.6*3.7</f>
        <v>102.12</v>
      </c>
      <c r="H189" s="9">
        <f t="shared" si="2"/>
        <v>53.1024</v>
      </c>
      <c r="I189" s="9"/>
      <c r="J189" s="9"/>
      <c r="K189" s="9"/>
    </row>
    <row r="190" ht="17.65" spans="1:11">
      <c r="A190" s="8">
        <v>189</v>
      </c>
      <c r="B190" s="61" t="s">
        <v>1224</v>
      </c>
      <c r="C190" s="9">
        <v>0</v>
      </c>
      <c r="D190" s="10" t="s">
        <v>1225</v>
      </c>
      <c r="E190" s="9">
        <v>81</v>
      </c>
      <c r="F190" s="9" t="s">
        <v>1226</v>
      </c>
      <c r="G190" s="9">
        <f>5.6*4.5*6.7</f>
        <v>168.84</v>
      </c>
      <c r="H190" s="9">
        <f t="shared" si="2"/>
        <v>87.7968</v>
      </c>
      <c r="I190" s="9"/>
      <c r="J190" s="9"/>
      <c r="K190" s="9" t="s">
        <v>21</v>
      </c>
    </row>
    <row r="191" ht="17.65" spans="1:11">
      <c r="A191" s="8">
        <v>190</v>
      </c>
      <c r="B191" s="61" t="s">
        <v>1227</v>
      </c>
      <c r="C191" s="9">
        <v>0</v>
      </c>
      <c r="D191" s="10" t="s">
        <v>1228</v>
      </c>
      <c r="E191" s="9">
        <v>70</v>
      </c>
      <c r="F191" s="9" t="s">
        <v>1229</v>
      </c>
      <c r="G191" s="9">
        <f>5.9*4.3*3.9</f>
        <v>98.943</v>
      </c>
      <c r="H191" s="9">
        <f t="shared" si="2"/>
        <v>51.45036</v>
      </c>
      <c r="I191" s="9"/>
      <c r="J191" s="9"/>
      <c r="K191" s="9"/>
    </row>
    <row r="192" ht="17.65" spans="1:11">
      <c r="A192" s="8">
        <v>191</v>
      </c>
      <c r="B192" s="61" t="s">
        <v>1230</v>
      </c>
      <c r="C192" s="9">
        <v>0</v>
      </c>
      <c r="D192" s="10" t="s">
        <v>1231</v>
      </c>
      <c r="E192" s="9">
        <v>71</v>
      </c>
      <c r="F192" s="9" t="s">
        <v>1232</v>
      </c>
      <c r="G192" s="9">
        <f>5.2*4.2*4.5</f>
        <v>98.28</v>
      </c>
      <c r="H192" s="9">
        <f t="shared" si="2"/>
        <v>51.1056</v>
      </c>
      <c r="I192" s="9"/>
      <c r="J192" s="9"/>
      <c r="K192" s="9"/>
    </row>
    <row r="193" ht="17.65" spans="1:11">
      <c r="A193" s="8">
        <v>192</v>
      </c>
      <c r="B193" s="61" t="s">
        <v>1233</v>
      </c>
      <c r="C193" s="9">
        <v>0</v>
      </c>
      <c r="D193" s="10" t="s">
        <v>1234</v>
      </c>
      <c r="E193" s="9">
        <v>83</v>
      </c>
      <c r="F193" s="9" t="s">
        <v>1235</v>
      </c>
      <c r="G193" s="9">
        <f>5.2*4.8*4.1</f>
        <v>102.336</v>
      </c>
      <c r="H193" s="9">
        <f t="shared" si="2"/>
        <v>53.21472</v>
      </c>
      <c r="I193" s="9"/>
      <c r="J193" s="9"/>
      <c r="K193" s="9"/>
    </row>
    <row r="194" ht="17.65" spans="1:11">
      <c r="A194" s="8">
        <v>193</v>
      </c>
      <c r="B194" s="61" t="s">
        <v>1236</v>
      </c>
      <c r="C194" s="9">
        <v>0</v>
      </c>
      <c r="D194" s="10" t="s">
        <v>1237</v>
      </c>
      <c r="E194" s="9">
        <v>75</v>
      </c>
      <c r="F194" s="9" t="s">
        <v>1238</v>
      </c>
      <c r="G194" s="9">
        <f>5.8*4.6*5.5</f>
        <v>146.74</v>
      </c>
      <c r="H194" s="9">
        <f t="shared" si="2"/>
        <v>76.3048</v>
      </c>
      <c r="I194" s="9"/>
      <c r="J194" s="9"/>
      <c r="K194" s="9"/>
    </row>
    <row r="195" ht="17.65" spans="1:11">
      <c r="A195" s="8">
        <v>194</v>
      </c>
      <c r="B195" s="56" t="s">
        <v>1239</v>
      </c>
      <c r="C195" s="9">
        <v>0</v>
      </c>
      <c r="D195" s="9" t="s">
        <v>1240</v>
      </c>
      <c r="E195" s="9">
        <v>68</v>
      </c>
      <c r="F195" s="9" t="s">
        <v>1241</v>
      </c>
      <c r="G195" s="9">
        <f>5*6.4*4.5</f>
        <v>144</v>
      </c>
      <c r="H195" s="9">
        <f t="shared" ref="H195:H202" si="3">G195*0.52</f>
        <v>74.88</v>
      </c>
      <c r="I195" s="9"/>
      <c r="J195" s="9"/>
      <c r="K195" s="9"/>
    </row>
    <row r="196" ht="17.65" spans="1:11">
      <c r="A196" s="8">
        <v>195</v>
      </c>
      <c r="B196" s="56" t="s">
        <v>1242</v>
      </c>
      <c r="C196" s="9">
        <v>0</v>
      </c>
      <c r="D196" s="9" t="s">
        <v>1243</v>
      </c>
      <c r="E196" s="9">
        <v>87</v>
      </c>
      <c r="F196" s="9" t="s">
        <v>1244</v>
      </c>
      <c r="G196" s="9">
        <f>6.3*5.3*6.3</f>
        <v>210.357</v>
      </c>
      <c r="H196" s="9">
        <f t="shared" si="3"/>
        <v>109.38564</v>
      </c>
      <c r="I196" s="9"/>
      <c r="J196" s="9"/>
      <c r="K196" s="9"/>
    </row>
    <row r="197" ht="17.65" spans="1:11">
      <c r="A197" s="8">
        <v>196</v>
      </c>
      <c r="B197" s="56" t="s">
        <v>1245</v>
      </c>
      <c r="C197" s="9">
        <v>0</v>
      </c>
      <c r="D197" s="9" t="s">
        <v>1246</v>
      </c>
      <c r="E197" s="9">
        <v>82</v>
      </c>
      <c r="F197" s="9" t="s">
        <v>72</v>
      </c>
      <c r="G197" s="9">
        <f>5.2*4.1*3.9</f>
        <v>83.148</v>
      </c>
      <c r="H197" s="9">
        <f t="shared" si="3"/>
        <v>43.23696</v>
      </c>
      <c r="I197" s="9"/>
      <c r="J197" s="9"/>
      <c r="K197" s="9"/>
    </row>
    <row r="198" ht="17.65" spans="1:11">
      <c r="A198" s="8">
        <v>197</v>
      </c>
      <c r="B198" s="56" t="s">
        <v>1247</v>
      </c>
      <c r="C198" s="9">
        <v>0</v>
      </c>
      <c r="D198" s="9" t="s">
        <v>1248</v>
      </c>
      <c r="E198" s="9">
        <v>75</v>
      </c>
      <c r="F198" s="9" t="s">
        <v>1249</v>
      </c>
      <c r="G198" s="9">
        <f>4.8*3.2*3</f>
        <v>46.08</v>
      </c>
      <c r="H198" s="9">
        <f t="shared" si="3"/>
        <v>23.9616</v>
      </c>
      <c r="I198" s="9"/>
      <c r="J198" s="9"/>
      <c r="K198" s="9"/>
    </row>
    <row r="199" ht="17.65" spans="1:11">
      <c r="A199" s="8">
        <v>198</v>
      </c>
      <c r="B199" s="56" t="s">
        <v>1250</v>
      </c>
      <c r="C199" s="9">
        <v>0</v>
      </c>
      <c r="D199" s="9" t="s">
        <v>1251</v>
      </c>
      <c r="E199" s="9">
        <v>60</v>
      </c>
      <c r="F199" s="9" t="s">
        <v>1252</v>
      </c>
      <c r="G199" s="9">
        <f>5*4*3</f>
        <v>60</v>
      </c>
      <c r="H199" s="9">
        <f t="shared" si="3"/>
        <v>31.2</v>
      </c>
      <c r="I199" s="9"/>
      <c r="J199" s="9"/>
      <c r="K199" s="9"/>
    </row>
    <row r="200" ht="17.65" spans="1:11">
      <c r="A200" s="8">
        <v>199</v>
      </c>
      <c r="B200" s="56" t="s">
        <v>1253</v>
      </c>
      <c r="C200" s="9">
        <v>0</v>
      </c>
      <c r="D200" s="9" t="s">
        <v>1254</v>
      </c>
      <c r="E200" s="9">
        <v>73</v>
      </c>
      <c r="F200" s="9" t="s">
        <v>1255</v>
      </c>
      <c r="G200" s="9">
        <f>5.9*5.5*7.9</f>
        <v>256.355</v>
      </c>
      <c r="H200" s="9">
        <f t="shared" si="3"/>
        <v>133.3046</v>
      </c>
      <c r="I200" s="9">
        <v>1</v>
      </c>
      <c r="J200" s="9"/>
      <c r="K200" s="9" t="s">
        <v>21</v>
      </c>
    </row>
    <row r="201" ht="17.65" spans="1:11">
      <c r="A201" s="8">
        <v>200</v>
      </c>
      <c r="B201" s="56" t="s">
        <v>1256</v>
      </c>
      <c r="C201" s="9">
        <v>0</v>
      </c>
      <c r="D201" s="9" t="s">
        <v>1257</v>
      </c>
      <c r="E201" s="9">
        <v>69</v>
      </c>
      <c r="F201" s="9" t="s">
        <v>1258</v>
      </c>
      <c r="G201" s="9">
        <f>6.6*5.3*9.2</f>
        <v>321.816</v>
      </c>
      <c r="H201" s="9">
        <f t="shared" si="3"/>
        <v>167.34432</v>
      </c>
      <c r="I201" s="9"/>
      <c r="J201" s="9"/>
      <c r="K201" s="9"/>
    </row>
    <row r="202" ht="17.65" spans="1:11">
      <c r="A202" s="8">
        <v>201</v>
      </c>
      <c r="B202" s="56" t="s">
        <v>1259</v>
      </c>
      <c r="C202" s="9">
        <v>0</v>
      </c>
      <c r="D202" s="9" t="s">
        <v>1260</v>
      </c>
      <c r="E202" s="9">
        <v>72</v>
      </c>
      <c r="F202" s="9" t="s">
        <v>1261</v>
      </c>
      <c r="G202" s="9">
        <f>6.2*5.7*5.9</f>
        <v>208.506</v>
      </c>
      <c r="H202" s="9">
        <f t="shared" si="3"/>
        <v>108.42312</v>
      </c>
      <c r="I202" s="9"/>
      <c r="J202" s="9"/>
      <c r="K202" s="9"/>
    </row>
    <row r="203" ht="17.65" customHeight="1" spans="1:11">
      <c r="A203" s="3">
        <v>202</v>
      </c>
      <c r="B203" s="56" t="s">
        <v>893</v>
      </c>
      <c r="C203" s="9">
        <v>0</v>
      </c>
      <c r="D203" s="9" t="s">
        <v>894</v>
      </c>
      <c r="E203" s="9">
        <v>69</v>
      </c>
      <c r="F203" s="9" t="s">
        <v>895</v>
      </c>
      <c r="G203" s="3">
        <v>93.28</v>
      </c>
      <c r="H203" s="3">
        <v>48.5056</v>
      </c>
      <c r="I203" s="18"/>
      <c r="J203" s="18"/>
      <c r="K203" s="18"/>
    </row>
    <row r="204" ht="17.65" customHeight="1" spans="1:11">
      <c r="A204" s="3">
        <v>203</v>
      </c>
      <c r="B204" s="56" t="s">
        <v>1059</v>
      </c>
      <c r="C204" s="9">
        <v>0</v>
      </c>
      <c r="D204" s="9" t="s">
        <v>1060</v>
      </c>
      <c r="E204" s="9">
        <v>69</v>
      </c>
      <c r="F204" s="9" t="s">
        <v>1061</v>
      </c>
      <c r="G204" s="3">
        <v>193.536</v>
      </c>
      <c r="H204" s="3">
        <v>100.63872</v>
      </c>
      <c r="I204" s="18"/>
      <c r="J204" s="18"/>
      <c r="K204" s="18"/>
    </row>
    <row r="205" ht="17.65" customHeight="1" spans="1:11">
      <c r="A205" s="3">
        <v>204</v>
      </c>
      <c r="B205" s="56" t="s">
        <v>1262</v>
      </c>
      <c r="C205" s="9">
        <v>0</v>
      </c>
      <c r="D205" s="9" t="s">
        <v>1263</v>
      </c>
      <c r="E205" s="9">
        <v>67</v>
      </c>
      <c r="F205" s="9" t="s">
        <v>1264</v>
      </c>
      <c r="G205" s="3">
        <v>162</v>
      </c>
      <c r="H205" s="3">
        <v>84.24</v>
      </c>
      <c r="I205" s="18"/>
      <c r="J205" s="18"/>
      <c r="K205" s="18"/>
    </row>
    <row r="206" ht="17.65" customHeight="1" spans="1:11">
      <c r="A206" s="3">
        <v>205</v>
      </c>
      <c r="B206" s="56" t="s">
        <v>1265</v>
      </c>
      <c r="C206" s="9">
        <v>0</v>
      </c>
      <c r="D206" s="9" t="s">
        <v>1266</v>
      </c>
      <c r="E206" s="9">
        <v>77</v>
      </c>
      <c r="F206" s="9" t="s">
        <v>1267</v>
      </c>
      <c r="G206" s="3">
        <v>317.376</v>
      </c>
      <c r="H206" s="3">
        <v>165.03552</v>
      </c>
      <c r="I206" s="18"/>
      <c r="J206" s="18"/>
      <c r="K206" s="18"/>
    </row>
    <row r="207" ht="17.65" customHeight="1" spans="1:11">
      <c r="A207" s="3">
        <v>206</v>
      </c>
      <c r="B207" s="56" t="s">
        <v>1268</v>
      </c>
      <c r="C207" s="9">
        <v>0</v>
      </c>
      <c r="D207" s="9" t="s">
        <v>1269</v>
      </c>
      <c r="E207" s="9">
        <v>55</v>
      </c>
      <c r="F207" s="9" t="s">
        <v>1270</v>
      </c>
      <c r="G207" s="3">
        <v>120.96</v>
      </c>
      <c r="H207" s="3">
        <v>62.8992</v>
      </c>
      <c r="I207" s="18" t="s">
        <v>1271</v>
      </c>
      <c r="J207" s="18"/>
      <c r="K207" s="18">
        <v>1</v>
      </c>
    </row>
    <row r="208" ht="17.65" customHeight="1" spans="1:11">
      <c r="A208" s="3">
        <v>207</v>
      </c>
      <c r="B208" s="56" t="s">
        <v>1272</v>
      </c>
      <c r="C208" s="9">
        <v>0</v>
      </c>
      <c r="D208" s="9" t="s">
        <v>1273</v>
      </c>
      <c r="E208" s="9">
        <v>54</v>
      </c>
      <c r="F208" s="9" t="s">
        <v>1274</v>
      </c>
      <c r="G208" s="3">
        <v>189.744</v>
      </c>
      <c r="H208" s="3">
        <v>98.66688</v>
      </c>
      <c r="I208" s="18"/>
      <c r="J208" s="18"/>
      <c r="K208" s="18"/>
    </row>
    <row r="209" ht="17.65" customHeight="1" spans="1:11">
      <c r="A209" s="3">
        <v>208</v>
      </c>
      <c r="B209" s="56" t="s">
        <v>1074</v>
      </c>
      <c r="C209" s="9">
        <v>0</v>
      </c>
      <c r="D209" s="9" t="s">
        <v>1075</v>
      </c>
      <c r="E209" s="9">
        <v>54</v>
      </c>
      <c r="F209" s="9" t="s">
        <v>1275</v>
      </c>
      <c r="G209" s="3">
        <v>299.336</v>
      </c>
      <c r="H209" s="3">
        <v>155.65472</v>
      </c>
      <c r="I209" s="18" t="s">
        <v>1271</v>
      </c>
      <c r="J209" s="18"/>
      <c r="K209" s="18">
        <v>1</v>
      </c>
    </row>
    <row r="210" ht="17.65" customHeight="1" spans="1:11">
      <c r="A210" s="3">
        <v>209</v>
      </c>
      <c r="B210" s="56" t="s">
        <v>1276</v>
      </c>
      <c r="C210" s="9">
        <v>0</v>
      </c>
      <c r="D210" s="9" t="s">
        <v>1277</v>
      </c>
      <c r="E210" s="9">
        <v>58</v>
      </c>
      <c r="F210" s="9" t="s">
        <v>1278</v>
      </c>
      <c r="G210" s="3">
        <v>123.552</v>
      </c>
      <c r="H210" s="3">
        <v>64.24704</v>
      </c>
      <c r="I210" s="18">
        <v>1</v>
      </c>
      <c r="J210" s="18"/>
      <c r="K210" s="18">
        <v>1</v>
      </c>
    </row>
    <row r="211" ht="17.65" customHeight="1" spans="1:11">
      <c r="A211" s="3">
        <v>210</v>
      </c>
      <c r="B211" s="56" t="s">
        <v>1279</v>
      </c>
      <c r="C211" s="9">
        <v>0</v>
      </c>
      <c r="D211" s="9" t="s">
        <v>1280</v>
      </c>
      <c r="E211" s="9">
        <v>66</v>
      </c>
      <c r="F211" s="9" t="s">
        <v>1281</v>
      </c>
      <c r="G211" s="3">
        <v>81.396</v>
      </c>
      <c r="H211" s="3">
        <v>42.32592</v>
      </c>
      <c r="I211" s="18"/>
      <c r="J211" s="18"/>
      <c r="K211" s="18"/>
    </row>
    <row r="212" ht="17.65" customHeight="1" spans="1:11">
      <c r="A212" s="3">
        <v>211</v>
      </c>
      <c r="B212" s="56" t="s">
        <v>1282</v>
      </c>
      <c r="C212" s="9">
        <v>0</v>
      </c>
      <c r="D212" s="9" t="s">
        <v>1283</v>
      </c>
      <c r="E212" s="9">
        <v>65</v>
      </c>
      <c r="F212" s="9" t="s">
        <v>1284</v>
      </c>
      <c r="G212" s="3">
        <v>231.99</v>
      </c>
      <c r="H212" s="3">
        <v>120.6348</v>
      </c>
      <c r="I212" s="18"/>
      <c r="J212" s="18"/>
      <c r="K212" s="18"/>
    </row>
    <row r="213" ht="17.65" customHeight="1" spans="1:11">
      <c r="A213" s="3">
        <v>212</v>
      </c>
      <c r="B213" s="56" t="s">
        <v>1285</v>
      </c>
      <c r="C213" s="9">
        <v>0</v>
      </c>
      <c r="D213" s="9" t="s">
        <v>1286</v>
      </c>
      <c r="E213" s="9">
        <v>68</v>
      </c>
      <c r="F213" s="9" t="s">
        <v>1287</v>
      </c>
      <c r="G213" s="3">
        <v>227.15</v>
      </c>
      <c r="H213" s="3">
        <v>118.118</v>
      </c>
      <c r="I213" s="18">
        <v>1</v>
      </c>
      <c r="J213" s="18"/>
      <c r="K213" s="18">
        <v>1</v>
      </c>
    </row>
    <row r="214" ht="17.65" customHeight="1" spans="1:11">
      <c r="A214" s="3">
        <v>213</v>
      </c>
      <c r="B214" s="56" t="s">
        <v>1288</v>
      </c>
      <c r="C214" s="9">
        <v>0</v>
      </c>
      <c r="D214" s="9" t="s">
        <v>1289</v>
      </c>
      <c r="E214" s="9">
        <v>66</v>
      </c>
      <c r="F214" s="9" t="s">
        <v>1290</v>
      </c>
      <c r="G214" s="3">
        <v>232.047</v>
      </c>
      <c r="H214" s="3">
        <v>120.66444</v>
      </c>
      <c r="I214" s="18">
        <v>1</v>
      </c>
      <c r="J214" s="18">
        <v>1</v>
      </c>
      <c r="K214" s="18">
        <v>1</v>
      </c>
    </row>
    <row r="215" ht="17.65" customHeight="1" spans="1:11">
      <c r="A215" s="3">
        <v>214</v>
      </c>
      <c r="B215" s="56" t="s">
        <v>1291</v>
      </c>
      <c r="C215" s="9">
        <v>0</v>
      </c>
      <c r="D215" s="9" t="s">
        <v>1292</v>
      </c>
      <c r="E215" s="9">
        <v>59</v>
      </c>
      <c r="F215" s="9" t="s">
        <v>1293</v>
      </c>
      <c r="G215" s="3">
        <v>141.912</v>
      </c>
      <c r="H215" s="3">
        <v>73.79424</v>
      </c>
      <c r="I215" s="18">
        <v>2</v>
      </c>
      <c r="J215" s="18"/>
      <c r="K215" s="18">
        <v>1</v>
      </c>
    </row>
    <row r="216" ht="17.65" customHeight="1" spans="1:11">
      <c r="A216" s="3">
        <v>215</v>
      </c>
      <c r="B216" s="56" t="s">
        <v>1294</v>
      </c>
      <c r="C216" s="9">
        <v>0</v>
      </c>
      <c r="D216" s="9" t="s">
        <v>1295</v>
      </c>
      <c r="E216" s="9">
        <v>83</v>
      </c>
      <c r="F216" s="9" t="s">
        <v>1296</v>
      </c>
      <c r="G216" s="3">
        <v>101.016</v>
      </c>
      <c r="H216" s="3">
        <v>52.52832</v>
      </c>
      <c r="I216" s="18"/>
      <c r="J216" s="18"/>
      <c r="K216" s="18"/>
    </row>
    <row r="217" ht="17.65" customHeight="1" spans="1:11">
      <c r="A217" s="3">
        <v>216</v>
      </c>
      <c r="B217" s="56" t="s">
        <v>1297</v>
      </c>
      <c r="C217" s="9">
        <v>0</v>
      </c>
      <c r="D217" s="9" t="s">
        <v>1298</v>
      </c>
      <c r="E217" s="9">
        <v>65</v>
      </c>
      <c r="F217" s="9" t="s">
        <v>1299</v>
      </c>
      <c r="G217" s="3">
        <v>93.492</v>
      </c>
      <c r="H217" s="3">
        <v>48.61584</v>
      </c>
      <c r="I217" s="18"/>
      <c r="J217" s="18"/>
      <c r="K217" s="18">
        <v>1</v>
      </c>
    </row>
    <row r="218" ht="17.65" customHeight="1" spans="1:11">
      <c r="A218" s="3">
        <v>217</v>
      </c>
      <c r="B218" s="56" t="s">
        <v>1300</v>
      </c>
      <c r="C218" s="9">
        <v>0</v>
      </c>
      <c r="D218" s="9" t="s">
        <v>1301</v>
      </c>
      <c r="E218" s="9">
        <v>79</v>
      </c>
      <c r="F218" s="9" t="s">
        <v>1302</v>
      </c>
      <c r="G218" s="3">
        <v>125.736</v>
      </c>
      <c r="H218" s="3">
        <v>65.38272</v>
      </c>
      <c r="I218" s="18"/>
      <c r="J218" s="18"/>
      <c r="K218" s="18"/>
    </row>
    <row r="219" ht="17.65" customHeight="1" spans="1:11">
      <c r="A219" s="3">
        <v>218</v>
      </c>
      <c r="B219" s="56" t="s">
        <v>1303</v>
      </c>
      <c r="C219" s="9">
        <v>0</v>
      </c>
      <c r="D219" s="9" t="s">
        <v>1304</v>
      </c>
      <c r="E219" s="9">
        <v>83</v>
      </c>
      <c r="F219" s="9" t="s">
        <v>1305</v>
      </c>
      <c r="G219" s="3">
        <v>213.84</v>
      </c>
      <c r="H219" s="3">
        <v>111.1968</v>
      </c>
      <c r="I219" s="18">
        <v>1</v>
      </c>
      <c r="J219" s="18">
        <v>1</v>
      </c>
      <c r="K219" s="18">
        <v>1</v>
      </c>
    </row>
    <row r="220" ht="17.65" customHeight="1" spans="1:11">
      <c r="A220" s="3">
        <v>219</v>
      </c>
      <c r="B220" s="56" t="s">
        <v>1306</v>
      </c>
      <c r="C220" s="9">
        <v>0</v>
      </c>
      <c r="D220" s="9" t="s">
        <v>1307</v>
      </c>
      <c r="E220" s="9">
        <v>75</v>
      </c>
      <c r="F220" s="9" t="s">
        <v>1308</v>
      </c>
      <c r="G220" s="3">
        <v>176.4</v>
      </c>
      <c r="H220" s="3">
        <v>91.728</v>
      </c>
      <c r="I220" s="18"/>
      <c r="J220" s="18"/>
      <c r="K220" s="18"/>
    </row>
    <row r="221" ht="17.65" customHeight="1" spans="1:11">
      <c r="A221" s="3">
        <v>220</v>
      </c>
      <c r="B221" s="56" t="s">
        <v>1309</v>
      </c>
      <c r="C221" s="9">
        <v>0</v>
      </c>
      <c r="D221" s="9" t="s">
        <v>1310</v>
      </c>
      <c r="E221" s="9">
        <v>78</v>
      </c>
      <c r="F221" s="9" t="s">
        <v>1311</v>
      </c>
      <c r="G221" s="3">
        <v>168.96</v>
      </c>
      <c r="H221" s="3">
        <v>87.8592</v>
      </c>
      <c r="I221" s="18"/>
      <c r="J221" s="18"/>
      <c r="K221" s="18"/>
    </row>
    <row r="222" ht="17.65" customHeight="1" spans="1:11">
      <c r="A222" s="3">
        <v>221</v>
      </c>
      <c r="B222" s="56" t="s">
        <v>1312</v>
      </c>
      <c r="C222" s="9">
        <v>0</v>
      </c>
      <c r="D222" s="9" t="s">
        <v>1313</v>
      </c>
      <c r="E222" s="9">
        <v>74</v>
      </c>
      <c r="F222" s="9" t="s">
        <v>1314</v>
      </c>
      <c r="G222" s="3">
        <v>111.78</v>
      </c>
      <c r="H222" s="3">
        <v>58.1256</v>
      </c>
      <c r="I222" s="18">
        <v>2</v>
      </c>
      <c r="J222" s="18"/>
      <c r="K222" s="18">
        <v>1</v>
      </c>
    </row>
    <row r="223" ht="17.65" customHeight="1" spans="1:11">
      <c r="A223" s="3">
        <v>222</v>
      </c>
      <c r="B223" s="56" t="s">
        <v>1315</v>
      </c>
      <c r="C223" s="9">
        <v>0</v>
      </c>
      <c r="D223" s="9" t="s">
        <v>1316</v>
      </c>
      <c r="E223" s="9">
        <v>70</v>
      </c>
      <c r="F223" s="9" t="s">
        <v>1166</v>
      </c>
      <c r="G223" s="3">
        <v>194.4</v>
      </c>
      <c r="H223" s="3">
        <v>101.088</v>
      </c>
      <c r="I223" s="18">
        <v>1</v>
      </c>
      <c r="J223" s="18"/>
      <c r="K223" s="18">
        <v>1</v>
      </c>
    </row>
    <row r="224" ht="17.65" customHeight="1" spans="1:11">
      <c r="A224" s="3">
        <v>223</v>
      </c>
      <c r="B224" s="56" t="s">
        <v>1317</v>
      </c>
      <c r="C224" s="9">
        <v>0</v>
      </c>
      <c r="D224" s="9" t="s">
        <v>1318</v>
      </c>
      <c r="E224" s="9">
        <v>58</v>
      </c>
      <c r="F224" s="9" t="s">
        <v>1319</v>
      </c>
      <c r="G224" s="3">
        <v>74.382</v>
      </c>
      <c r="H224" s="3">
        <v>38.67864</v>
      </c>
      <c r="I224" s="18"/>
      <c r="J224" s="18"/>
      <c r="K224" s="18"/>
    </row>
    <row r="225" ht="17.65" customHeight="1" spans="1:11">
      <c r="A225" s="3">
        <v>224</v>
      </c>
      <c r="B225" s="56" t="s">
        <v>1320</v>
      </c>
      <c r="C225" s="9">
        <v>0</v>
      </c>
      <c r="D225" s="9" t="s">
        <v>1321</v>
      </c>
      <c r="E225" s="9">
        <v>84</v>
      </c>
      <c r="F225" s="9" t="s">
        <v>1322</v>
      </c>
      <c r="G225" s="3">
        <v>202.464</v>
      </c>
      <c r="H225" s="3">
        <v>105.28128</v>
      </c>
      <c r="I225" s="18"/>
      <c r="J225" s="18"/>
      <c r="K225" s="18"/>
    </row>
    <row r="226" ht="17.65" customHeight="1" spans="1:11">
      <c r="A226" s="3">
        <v>225</v>
      </c>
      <c r="B226" s="56" t="s">
        <v>1323</v>
      </c>
      <c r="C226" s="9">
        <v>0</v>
      </c>
      <c r="D226" s="9" t="s">
        <v>1324</v>
      </c>
      <c r="E226" s="9">
        <v>67</v>
      </c>
      <c r="F226" s="9" t="s">
        <v>1325</v>
      </c>
      <c r="G226" s="3">
        <v>112</v>
      </c>
      <c r="H226" s="3">
        <v>58.24</v>
      </c>
      <c r="I226" s="18">
        <v>2</v>
      </c>
      <c r="J226" s="18"/>
      <c r="K226" s="18">
        <v>1</v>
      </c>
    </row>
    <row r="227" ht="17.65" customHeight="1" spans="1:11">
      <c r="A227" s="3">
        <v>226</v>
      </c>
      <c r="B227" s="56" t="s">
        <v>1326</v>
      </c>
      <c r="C227" s="9">
        <v>0</v>
      </c>
      <c r="D227" s="9" t="s">
        <v>1327</v>
      </c>
      <c r="E227" s="9">
        <v>70</v>
      </c>
      <c r="F227" s="9" t="s">
        <v>1328</v>
      </c>
      <c r="G227" s="3">
        <v>153.816</v>
      </c>
      <c r="H227" s="3">
        <v>79.98432</v>
      </c>
      <c r="I227" s="18"/>
      <c r="J227" s="18"/>
      <c r="K227" s="18">
        <v>1</v>
      </c>
    </row>
    <row r="228" ht="17.65" customHeight="1" spans="1:11">
      <c r="A228" s="3">
        <v>227</v>
      </c>
      <c r="B228" s="56" t="s">
        <v>1329</v>
      </c>
      <c r="C228" s="9">
        <v>0</v>
      </c>
      <c r="D228" s="9" t="s">
        <v>1330</v>
      </c>
      <c r="E228" s="9">
        <v>73</v>
      </c>
      <c r="F228" s="9" t="s">
        <v>1331</v>
      </c>
      <c r="G228" s="3">
        <v>127.44</v>
      </c>
      <c r="H228" s="3">
        <v>66.2688</v>
      </c>
      <c r="I228" s="18">
        <v>2</v>
      </c>
      <c r="J228" s="18">
        <v>1</v>
      </c>
      <c r="K228" s="18">
        <v>1</v>
      </c>
    </row>
    <row r="229" ht="17.65" customHeight="1" spans="1:11">
      <c r="A229" s="3">
        <v>228</v>
      </c>
      <c r="B229" s="56" t="s">
        <v>1332</v>
      </c>
      <c r="C229" s="9">
        <v>0</v>
      </c>
      <c r="D229" s="9" t="s">
        <v>1333</v>
      </c>
      <c r="E229" s="9">
        <v>63</v>
      </c>
      <c r="F229" s="9" t="s">
        <v>1334</v>
      </c>
      <c r="G229" s="3">
        <v>134.232</v>
      </c>
      <c r="H229" s="3">
        <v>69.80064</v>
      </c>
      <c r="I229" s="18"/>
      <c r="J229" s="18"/>
      <c r="K229" s="18"/>
    </row>
    <row r="230" ht="17.65" customHeight="1" spans="1:11">
      <c r="A230" s="3">
        <v>229</v>
      </c>
      <c r="B230" s="56" t="s">
        <v>1335</v>
      </c>
      <c r="C230" s="9">
        <v>0</v>
      </c>
      <c r="D230" s="9" t="s">
        <v>1336</v>
      </c>
      <c r="E230" s="9">
        <v>74</v>
      </c>
      <c r="F230" s="9" t="s">
        <v>1337</v>
      </c>
      <c r="G230" s="3">
        <v>93.483</v>
      </c>
      <c r="H230" s="3">
        <v>48.61116</v>
      </c>
      <c r="I230" s="18">
        <v>1</v>
      </c>
      <c r="J230" s="18"/>
      <c r="K230" s="18">
        <v>1</v>
      </c>
    </row>
    <row r="231" ht="17.65" customHeight="1" spans="1:11">
      <c r="A231" s="3">
        <v>230</v>
      </c>
      <c r="B231" s="56" t="s">
        <v>1338</v>
      </c>
      <c r="C231" s="9">
        <v>0</v>
      </c>
      <c r="D231" s="9" t="s">
        <v>1339</v>
      </c>
      <c r="E231" s="9">
        <v>68</v>
      </c>
      <c r="F231" s="9" t="s">
        <v>1340</v>
      </c>
      <c r="G231" s="3">
        <v>110.88</v>
      </c>
      <c r="H231" s="3">
        <v>57.6576</v>
      </c>
      <c r="I231" s="18">
        <v>1</v>
      </c>
      <c r="J231" s="18"/>
      <c r="K231" s="18">
        <v>1</v>
      </c>
    </row>
    <row r="232" ht="17.65" customHeight="1" spans="1:11">
      <c r="A232" s="3">
        <v>231</v>
      </c>
      <c r="B232" s="56" t="s">
        <v>1341</v>
      </c>
      <c r="C232" s="9">
        <v>0</v>
      </c>
      <c r="D232" s="9" t="s">
        <v>1342</v>
      </c>
      <c r="E232" s="9">
        <v>69</v>
      </c>
      <c r="F232" s="9" t="s">
        <v>1343</v>
      </c>
      <c r="G232" s="3">
        <v>302.4</v>
      </c>
      <c r="H232" s="3">
        <v>157.248</v>
      </c>
      <c r="I232" s="18"/>
      <c r="J232" s="18"/>
      <c r="K232" s="18"/>
    </row>
    <row r="233" ht="17.65" customHeight="1" spans="1:11">
      <c r="A233" s="3">
        <v>232</v>
      </c>
      <c r="B233" s="56" t="s">
        <v>1344</v>
      </c>
      <c r="C233" s="9">
        <v>0</v>
      </c>
      <c r="D233" s="9" t="s">
        <v>1345</v>
      </c>
      <c r="E233" s="9">
        <v>75</v>
      </c>
      <c r="F233" s="9" t="s">
        <v>1346</v>
      </c>
      <c r="G233" s="3">
        <v>137.17</v>
      </c>
      <c r="H233" s="3">
        <v>71.3284</v>
      </c>
      <c r="I233" s="18"/>
      <c r="J233" s="18"/>
      <c r="K233" s="18"/>
    </row>
    <row r="234" ht="17.65" customHeight="1" spans="1:11">
      <c r="A234" s="3">
        <v>233</v>
      </c>
      <c r="B234" s="56" t="s">
        <v>1347</v>
      </c>
      <c r="C234" s="9">
        <v>0</v>
      </c>
      <c r="D234" s="9" t="s">
        <v>1348</v>
      </c>
      <c r="E234" s="9">
        <v>71</v>
      </c>
      <c r="F234" s="9" t="s">
        <v>1349</v>
      </c>
      <c r="G234" s="3">
        <v>66.674</v>
      </c>
      <c r="H234" s="3">
        <v>34.67048</v>
      </c>
      <c r="I234" s="18"/>
      <c r="J234" s="18"/>
      <c r="K234" s="18"/>
    </row>
    <row r="235" ht="17.65" customHeight="1" spans="1:11">
      <c r="A235" s="3">
        <v>234</v>
      </c>
      <c r="B235" s="56" t="s">
        <v>1350</v>
      </c>
      <c r="C235" s="9">
        <v>0</v>
      </c>
      <c r="D235" s="9" t="s">
        <v>1351</v>
      </c>
      <c r="E235" s="9">
        <v>68</v>
      </c>
      <c r="F235" s="9" t="s">
        <v>1352</v>
      </c>
      <c r="G235" s="3">
        <v>114.492</v>
      </c>
      <c r="H235" s="3">
        <v>59.53584</v>
      </c>
      <c r="I235" s="18"/>
      <c r="J235" s="18"/>
      <c r="K235" s="18"/>
    </row>
    <row r="236" ht="17.65" customHeight="1" spans="1:11">
      <c r="A236" s="3">
        <v>235</v>
      </c>
      <c r="B236" s="56" t="s">
        <v>1353</v>
      </c>
      <c r="C236" s="9">
        <v>0</v>
      </c>
      <c r="D236" s="9" t="s">
        <v>1354</v>
      </c>
      <c r="E236" s="9">
        <v>84</v>
      </c>
      <c r="F236" s="9" t="s">
        <v>1355</v>
      </c>
      <c r="G236" s="3">
        <v>148.23</v>
      </c>
      <c r="H236" s="3">
        <v>77.0796</v>
      </c>
      <c r="I236" s="18">
        <v>1</v>
      </c>
      <c r="J236" s="18"/>
      <c r="K236" s="18">
        <v>1</v>
      </c>
    </row>
    <row r="237" ht="17.65" customHeight="1" spans="1:11">
      <c r="A237" s="3">
        <v>236</v>
      </c>
      <c r="B237" s="56" t="s">
        <v>1356</v>
      </c>
      <c r="C237" s="9">
        <v>0</v>
      </c>
      <c r="D237" s="9" t="s">
        <v>1357</v>
      </c>
      <c r="E237" s="9">
        <v>78</v>
      </c>
      <c r="F237" s="9" t="s">
        <v>1358</v>
      </c>
      <c r="G237" s="3">
        <v>159.12</v>
      </c>
      <c r="H237" s="3">
        <v>82.7424</v>
      </c>
      <c r="I237" s="18"/>
      <c r="J237" s="18"/>
      <c r="K237" s="18"/>
    </row>
    <row r="238" ht="17.65" customHeight="1" spans="1:11">
      <c r="A238" s="3">
        <v>237</v>
      </c>
      <c r="B238" s="56" t="s">
        <v>1359</v>
      </c>
      <c r="C238" s="9">
        <v>0</v>
      </c>
      <c r="D238" s="9" t="s">
        <v>1360</v>
      </c>
      <c r="E238" s="9">
        <v>64</v>
      </c>
      <c r="F238" s="9" t="s">
        <v>1361</v>
      </c>
      <c r="G238" s="3">
        <v>122.976</v>
      </c>
      <c r="H238" s="3">
        <v>63.94752</v>
      </c>
      <c r="I238" s="18">
        <v>1</v>
      </c>
      <c r="J238" s="18"/>
      <c r="K238" s="18">
        <v>1</v>
      </c>
    </row>
    <row r="239" ht="17.65" customHeight="1" spans="1:11">
      <c r="A239" s="3">
        <v>238</v>
      </c>
      <c r="B239" s="56" t="s">
        <v>1362</v>
      </c>
      <c r="C239" s="9">
        <v>0</v>
      </c>
      <c r="D239" s="9" t="s">
        <v>1363</v>
      </c>
      <c r="E239" s="9">
        <v>87</v>
      </c>
      <c r="F239" s="9" t="s">
        <v>1364</v>
      </c>
      <c r="G239" s="3">
        <v>141.588</v>
      </c>
      <c r="H239" s="3">
        <v>73.62576</v>
      </c>
      <c r="I239" s="18"/>
      <c r="J239" s="18"/>
      <c r="K239" s="18"/>
    </row>
    <row r="240" ht="17.65" customHeight="1" spans="1:11">
      <c r="A240" s="3">
        <v>239</v>
      </c>
      <c r="B240" s="56" t="s">
        <v>1365</v>
      </c>
      <c r="C240" s="9">
        <v>0</v>
      </c>
      <c r="D240" s="9" t="s">
        <v>1366</v>
      </c>
      <c r="E240" s="9">
        <v>62</v>
      </c>
      <c r="F240" s="9" t="s">
        <v>1367</v>
      </c>
      <c r="G240" s="3">
        <v>133.722</v>
      </c>
      <c r="H240" s="3">
        <v>69.53544</v>
      </c>
      <c r="I240" s="18">
        <v>1</v>
      </c>
      <c r="J240" s="18"/>
      <c r="K240" s="18">
        <v>1</v>
      </c>
    </row>
    <row r="241" ht="17.65" customHeight="1" spans="1:11">
      <c r="A241" s="3">
        <v>240</v>
      </c>
      <c r="B241" s="56" t="s">
        <v>1368</v>
      </c>
      <c r="C241" s="9">
        <v>0</v>
      </c>
      <c r="D241" s="9" t="s">
        <v>1369</v>
      </c>
      <c r="E241" s="9">
        <v>71</v>
      </c>
      <c r="F241" s="9" t="s">
        <v>1370</v>
      </c>
      <c r="G241" s="3">
        <v>181.104</v>
      </c>
      <c r="H241" s="3">
        <v>94.17408</v>
      </c>
      <c r="I241" s="18"/>
      <c r="J241" s="18"/>
      <c r="K241" s="18"/>
    </row>
    <row r="242" ht="17.65" customHeight="1" spans="1:11">
      <c r="A242" s="3">
        <v>241</v>
      </c>
      <c r="B242" s="56" t="s">
        <v>1371</v>
      </c>
      <c r="C242" s="9">
        <v>0</v>
      </c>
      <c r="D242" s="9" t="s">
        <v>1372</v>
      </c>
      <c r="E242" s="9">
        <v>67</v>
      </c>
      <c r="F242" s="9" t="s">
        <v>1355</v>
      </c>
      <c r="G242" s="3">
        <v>148.23</v>
      </c>
      <c r="H242" s="3">
        <v>77.0796</v>
      </c>
      <c r="I242" s="19"/>
      <c r="J242" s="19"/>
      <c r="K242" s="1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前列腺癌</vt:lpstr>
      <vt:lpstr>前列腺增生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Muxixi</dc:creator>
  <cp:lastModifiedBy>He</cp:lastModifiedBy>
  <dcterms:created xsi:type="dcterms:W3CDTF">2023-09-27T10:47:00Z</dcterms:created>
  <dcterms:modified xsi:type="dcterms:W3CDTF">2024-06-02T08:19:50Z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1B5B381913A74AB79539C843082F7E01_13</vt:lpwstr>
  </property>
  <property fmtid="{D5CDD505-2E9C-101B-9397-08002B2CF9AE}" pid="3" name="KSOProductBuildVer">
    <vt:lpwstr>2052-12.1.0.16929</vt:lpwstr>
  </property>
</Properties>
</file>